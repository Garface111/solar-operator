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lleenbarr/Library/Mobile Documents/com~apple~CloudDocs/Solar/3. Danville Big Buck/Customer-Danville Big Buck/"/>
    </mc:Choice>
  </mc:AlternateContent>
  <xr:revisionPtr revIDLastSave="0" documentId="13_ncr:1_{CCFFB82B-EC07-DA49-B49E-58D6979C5B31}" xr6:coauthVersionLast="47" xr6:coauthVersionMax="47" xr10:uidLastSave="{00000000-0000-0000-0000-000000000000}"/>
  <bookViews>
    <workbookView xWindow="780" yWindow="500" windowWidth="28800" windowHeight="16260" activeTab="1" xr2:uid="{00000000-000D-0000-FFFF-FFFF00000000}"/>
  </bookViews>
  <sheets>
    <sheet name="SAMPLE" sheetId="1" r:id="rId1"/>
    <sheet name="Valley Cares Data" sheetId="3" r:id="rId2"/>
    <sheet name="Valley Cares Template" sheetId="6" r:id="rId3"/>
    <sheet name="Valley Cares Annual True Up" sheetId="7" r:id="rId4"/>
    <sheet name="TTM Trends" sheetId="8" r:id="rId5"/>
  </sheets>
  <definedNames>
    <definedName name="_xlnm.Print_Area" localSheetId="3">'Valley Cares Annual True Up'!$C$3:$K$22</definedName>
    <definedName name="_xlnm.Print_Area" localSheetId="1">'Valley Cares Data'!$A$1:$M$28</definedName>
    <definedName name="_xlnm.Print_Area" localSheetId="2">'Valley Cares Template'!$B$1:$I$48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0" i="3" l="1"/>
  <c r="N60" i="3"/>
  <c r="I60" i="3"/>
  <c r="H60" i="3"/>
  <c r="E60" i="3"/>
  <c r="Q59" i="3"/>
  <c r="N59" i="3"/>
  <c r="I59" i="3"/>
  <c r="H59" i="3"/>
  <c r="E59" i="3"/>
  <c r="Q58" i="3"/>
  <c r="N58" i="3"/>
  <c r="I58" i="3"/>
  <c r="H58" i="3"/>
  <c r="E58" i="3"/>
  <c r="J60" i="3" l="1"/>
  <c r="O60" i="3" s="1"/>
  <c r="J59" i="3"/>
  <c r="O59" i="3" s="1"/>
  <c r="J58" i="3"/>
  <c r="O58" i="3" s="1"/>
  <c r="Q57" i="3"/>
  <c r="O57" i="3"/>
  <c r="N57" i="3"/>
  <c r="J57" i="3"/>
  <c r="I57" i="3"/>
  <c r="K57" i="3" s="1"/>
  <c r="P57" i="3" s="1"/>
  <c r="H57" i="3"/>
  <c r="E57" i="3"/>
  <c r="Q56" i="3"/>
  <c r="N56" i="3"/>
  <c r="I56" i="3"/>
  <c r="H56" i="3"/>
  <c r="E56" i="3"/>
  <c r="Q55" i="3"/>
  <c r="H55" i="3"/>
  <c r="E55" i="3"/>
  <c r="N55" i="3" s="1"/>
  <c r="Q54" i="3"/>
  <c r="I54" i="3"/>
  <c r="H54" i="3"/>
  <c r="E54" i="3"/>
  <c r="N54" i="3" s="1"/>
  <c r="K60" i="3" l="1"/>
  <c r="P60" i="3" s="1"/>
  <c r="K59" i="3"/>
  <c r="P59" i="3" s="1"/>
  <c r="K58" i="3"/>
  <c r="P58" i="3" s="1"/>
  <c r="J56" i="3"/>
  <c r="O56" i="3" s="1"/>
  <c r="I55" i="3"/>
  <c r="J55" i="3"/>
  <c r="O55" i="3" s="1"/>
  <c r="J54" i="3"/>
  <c r="O54" i="3" s="1"/>
  <c r="Q53" i="3"/>
  <c r="H53" i="3"/>
  <c r="E53" i="3"/>
  <c r="I53" i="3" s="1"/>
  <c r="J14" i="7"/>
  <c r="K56" i="3" l="1"/>
  <c r="P56" i="3" s="1"/>
  <c r="K55" i="3"/>
  <c r="P55" i="3" s="1"/>
  <c r="K54" i="3"/>
  <c r="P54" i="3" s="1"/>
  <c r="J53" i="3"/>
  <c r="Q52" i="3"/>
  <c r="H52" i="3"/>
  <c r="E52" i="3"/>
  <c r="I52" i="3" s="1"/>
  <c r="Q51" i="3"/>
  <c r="H51" i="3"/>
  <c r="E51" i="3"/>
  <c r="I51" i="3" s="1"/>
  <c r="Q50" i="3"/>
  <c r="H50" i="3"/>
  <c r="E50" i="3"/>
  <c r="I50" i="3" s="1"/>
  <c r="J50" i="3" s="1"/>
  <c r="Q49" i="3"/>
  <c r="H49" i="3"/>
  <c r="E49" i="3"/>
  <c r="I49" i="3" s="1"/>
  <c r="J49" i="3" s="1"/>
  <c r="K49" i="3" s="1"/>
  <c r="E48" i="3"/>
  <c r="Q48" i="3"/>
  <c r="I48" i="3"/>
  <c r="J48" i="3" s="1"/>
  <c r="H48" i="3"/>
  <c r="Q47" i="3"/>
  <c r="H47" i="3"/>
  <c r="E47" i="3"/>
  <c r="I47" i="3" s="1"/>
  <c r="Q46" i="3"/>
  <c r="I46" i="3"/>
  <c r="J46" i="3" s="1"/>
  <c r="H46" i="3"/>
  <c r="E46" i="3"/>
  <c r="Q45" i="3"/>
  <c r="H45" i="3"/>
  <c r="E45" i="3"/>
  <c r="Q44" i="3"/>
  <c r="I44" i="3"/>
  <c r="H44" i="3"/>
  <c r="E44" i="3"/>
  <c r="Q43" i="3"/>
  <c r="H43" i="3"/>
  <c r="E43" i="3"/>
  <c r="I43" i="3" s="1"/>
  <c r="J43" i="3" s="1"/>
  <c r="E42" i="3"/>
  <c r="H42" i="3"/>
  <c r="I42" i="3"/>
  <c r="J42" i="3"/>
  <c r="K42" i="3" s="1"/>
  <c r="Q42" i="3"/>
  <c r="H41" i="3"/>
  <c r="Q41" i="3"/>
  <c r="E41" i="3"/>
  <c r="I41" i="3" s="1"/>
  <c r="J41" i="3" s="1"/>
  <c r="J13" i="7"/>
  <c r="Q40" i="3"/>
  <c r="H40" i="3"/>
  <c r="E40" i="3"/>
  <c r="I40" i="3" s="1"/>
  <c r="H39" i="3"/>
  <c r="Q39" i="3"/>
  <c r="E39" i="3"/>
  <c r="I39" i="3" s="1"/>
  <c r="Q38" i="3"/>
  <c r="E38" i="3"/>
  <c r="I38" i="3" s="1"/>
  <c r="Q37" i="3"/>
  <c r="E37" i="3"/>
  <c r="I37" i="3"/>
  <c r="J37" i="3" s="1"/>
  <c r="Q36" i="3"/>
  <c r="E36" i="3"/>
  <c r="I36" i="3" s="1"/>
  <c r="Q35" i="3"/>
  <c r="E35" i="3"/>
  <c r="I35" i="3"/>
  <c r="Q34" i="3"/>
  <c r="E34" i="3"/>
  <c r="I34" i="3" s="1"/>
  <c r="Q33" i="3"/>
  <c r="E33" i="3"/>
  <c r="I33" i="3" s="1"/>
  <c r="Q32" i="3"/>
  <c r="E32" i="3"/>
  <c r="I32" i="3" s="1"/>
  <c r="Q31" i="3"/>
  <c r="E31" i="3"/>
  <c r="I31" i="3"/>
  <c r="J31" i="3" s="1"/>
  <c r="Q30" i="3"/>
  <c r="E30" i="3"/>
  <c r="I30" i="3"/>
  <c r="J30" i="3"/>
  <c r="Q29" i="3"/>
  <c r="E29" i="3"/>
  <c r="I29" i="3" s="1"/>
  <c r="M29" i="6"/>
  <c r="J12" i="7"/>
  <c r="Q28" i="3"/>
  <c r="E28" i="3"/>
  <c r="I28" i="3" s="1"/>
  <c r="Q27" i="3"/>
  <c r="E27" i="3"/>
  <c r="I27" i="3"/>
  <c r="Q26" i="3"/>
  <c r="E26" i="3"/>
  <c r="K30" i="3"/>
  <c r="J27" i="3"/>
  <c r="K27" i="3" s="1"/>
  <c r="I26" i="3"/>
  <c r="Q25" i="3"/>
  <c r="E25" i="3"/>
  <c r="I25" i="3" s="1"/>
  <c r="Q24" i="3"/>
  <c r="E24" i="3"/>
  <c r="I24" i="3"/>
  <c r="J24" i="3" s="1"/>
  <c r="K24" i="3" s="1"/>
  <c r="Q23" i="3"/>
  <c r="E23" i="3"/>
  <c r="I23" i="3" s="1"/>
  <c r="Q22" i="3"/>
  <c r="E22" i="3"/>
  <c r="I22" i="3"/>
  <c r="Q21" i="3"/>
  <c r="E21" i="3"/>
  <c r="I21" i="3" s="1"/>
  <c r="Q20" i="3"/>
  <c r="E20" i="3"/>
  <c r="I20" i="3" s="1"/>
  <c r="E12" i="6"/>
  <c r="E13" i="6" s="1"/>
  <c r="Q19" i="3"/>
  <c r="E19" i="3"/>
  <c r="I19" i="3"/>
  <c r="J19" i="3" s="1"/>
  <c r="Q18" i="3"/>
  <c r="E18" i="3"/>
  <c r="I18" i="3"/>
  <c r="J18" i="3" s="1"/>
  <c r="Q17" i="3"/>
  <c r="E17" i="3"/>
  <c r="I17" i="3" s="1"/>
  <c r="U9" i="3"/>
  <c r="F11" i="7"/>
  <c r="Q16" i="3"/>
  <c r="V16" i="3"/>
  <c r="I11" i="7" s="1"/>
  <c r="I16" i="3"/>
  <c r="J16" i="3" s="1"/>
  <c r="E16" i="3"/>
  <c r="Q15" i="3"/>
  <c r="E15" i="3"/>
  <c r="Q14" i="3"/>
  <c r="E14" i="3"/>
  <c r="I14" i="3"/>
  <c r="Q13" i="3"/>
  <c r="E13" i="3"/>
  <c r="Q12" i="3"/>
  <c r="I12" i="3"/>
  <c r="J12" i="3"/>
  <c r="N11" i="3"/>
  <c r="E12" i="3"/>
  <c r="Q11" i="3"/>
  <c r="E11" i="3"/>
  <c r="I11" i="3"/>
  <c r="J11" i="3" s="1"/>
  <c r="K11" i="3" s="1"/>
  <c r="Q10" i="3"/>
  <c r="E10" i="3"/>
  <c r="I10" i="3" s="1"/>
  <c r="Q9" i="3"/>
  <c r="E9" i="3"/>
  <c r="I9" i="3" s="1"/>
  <c r="Q8" i="3"/>
  <c r="Q7" i="3"/>
  <c r="Q6" i="3"/>
  <c r="E8" i="3"/>
  <c r="I8" i="3"/>
  <c r="E7" i="3"/>
  <c r="N10" i="3" s="1"/>
  <c r="I7" i="3"/>
  <c r="J7" i="3" s="1"/>
  <c r="E6" i="3"/>
  <c r="I6" i="3" s="1"/>
  <c r="I15" i="3"/>
  <c r="I13" i="3"/>
  <c r="J13" i="3" s="1"/>
  <c r="K12" i="3"/>
  <c r="E5" i="3"/>
  <c r="N51" i="3" s="1"/>
  <c r="I5" i="3"/>
  <c r="N6" i="3"/>
  <c r="N8" i="3"/>
  <c r="N7" i="3"/>
  <c r="E21" i="1"/>
  <c r="I21" i="1"/>
  <c r="E20" i="1"/>
  <c r="I20" i="1"/>
  <c r="J20" i="1"/>
  <c r="B21" i="1"/>
  <c r="B20" i="1"/>
  <c r="E19" i="1"/>
  <c r="I19" i="1"/>
  <c r="B19" i="1"/>
  <c r="E18" i="1"/>
  <c r="I18" i="1"/>
  <c r="E17" i="1"/>
  <c r="I17" i="1"/>
  <c r="C17" i="1"/>
  <c r="B17" i="1"/>
  <c r="E16" i="1"/>
  <c r="I16" i="1"/>
  <c r="E15" i="1"/>
  <c r="I15" i="1"/>
  <c r="J15" i="1"/>
  <c r="K15" i="1"/>
  <c r="E14" i="1"/>
  <c r="I14" i="1"/>
  <c r="B16" i="1"/>
  <c r="B15" i="1"/>
  <c r="E13" i="1"/>
  <c r="I13" i="1"/>
  <c r="K13" i="1"/>
  <c r="J13" i="1"/>
  <c r="E12" i="1"/>
  <c r="I12" i="1"/>
  <c r="J12" i="1"/>
  <c r="K12" i="1"/>
  <c r="B12" i="1"/>
  <c r="C12" i="1"/>
  <c r="B13" i="1"/>
  <c r="C13" i="1"/>
  <c r="B14" i="1"/>
  <c r="E11" i="1"/>
  <c r="I11" i="1"/>
  <c r="E10" i="1"/>
  <c r="I10" i="1"/>
  <c r="J10" i="1"/>
  <c r="B11" i="1"/>
  <c r="B10" i="1"/>
  <c r="E9" i="1"/>
  <c r="I9" i="1"/>
  <c r="J9" i="1"/>
  <c r="B9" i="1"/>
  <c r="E8" i="1"/>
  <c r="I8" i="1"/>
  <c r="E7" i="1"/>
  <c r="I7" i="1"/>
  <c r="J7" i="1"/>
  <c r="K7" i="1"/>
  <c r="E6" i="1"/>
  <c r="I6" i="1"/>
  <c r="E5" i="1"/>
  <c r="I5" i="1"/>
  <c r="J5" i="1"/>
  <c r="K14" i="1"/>
  <c r="J14" i="1"/>
  <c r="J16" i="1"/>
  <c r="K16" i="1"/>
  <c r="J8" i="1"/>
  <c r="K8" i="1"/>
  <c r="J11" i="1"/>
  <c r="K11" i="1"/>
  <c r="J19" i="1"/>
  <c r="K19" i="1"/>
  <c r="J18" i="1"/>
  <c r="K18" i="1"/>
  <c r="K6" i="1"/>
  <c r="J6" i="1"/>
  <c r="J17" i="1"/>
  <c r="K17" i="1"/>
  <c r="K21" i="1"/>
  <c r="J21" i="1"/>
  <c r="K5" i="1"/>
  <c r="K9" i="1"/>
  <c r="K10" i="1"/>
  <c r="K20" i="1"/>
  <c r="E16" i="6" a="1"/>
  <c r="G16" i="6" a="1"/>
  <c r="G20" i="6" a="1"/>
  <c r="G19" i="6" a="1"/>
  <c r="J25" i="3" l="1"/>
  <c r="K25" i="3" s="1"/>
  <c r="J33" i="3"/>
  <c r="K33" i="3" s="1"/>
  <c r="J51" i="3"/>
  <c r="K51" i="3"/>
  <c r="K6" i="3"/>
  <c r="J6" i="3"/>
  <c r="J28" i="3"/>
  <c r="K28" i="3" s="1"/>
  <c r="J17" i="3"/>
  <c r="K17" i="3"/>
  <c r="K23" i="3"/>
  <c r="J23" i="3"/>
  <c r="J34" i="3"/>
  <c r="K34" i="3" s="1"/>
  <c r="J10" i="3"/>
  <c r="K10" i="3"/>
  <c r="J20" i="3"/>
  <c r="K20" i="3"/>
  <c r="K35" i="3"/>
  <c r="K38" i="3"/>
  <c r="J38" i="3"/>
  <c r="K22" i="3"/>
  <c r="J9" i="3"/>
  <c r="K9" i="3" s="1"/>
  <c r="J21" i="3"/>
  <c r="K21" i="3" s="1"/>
  <c r="J29" i="3"/>
  <c r="K29" i="3"/>
  <c r="K14" i="3"/>
  <c r="K36" i="3"/>
  <c r="J36" i="3"/>
  <c r="J32" i="3"/>
  <c r="K32" i="3" s="1"/>
  <c r="K39" i="3"/>
  <c r="J39" i="3"/>
  <c r="N18" i="3"/>
  <c r="N25" i="3"/>
  <c r="N16" i="3"/>
  <c r="N45" i="3"/>
  <c r="N44" i="3"/>
  <c r="N49" i="3"/>
  <c r="N12" i="3"/>
  <c r="J8" i="3"/>
  <c r="K8" i="3" s="1"/>
  <c r="N29" i="3"/>
  <c r="N33" i="3"/>
  <c r="K31" i="3"/>
  <c r="J35" i="3"/>
  <c r="N46" i="3"/>
  <c r="J22" i="3"/>
  <c r="N42" i="3"/>
  <c r="N30" i="3"/>
  <c r="N40" i="3"/>
  <c r="N43" i="3"/>
  <c r="K13" i="3"/>
  <c r="N13" i="3"/>
  <c r="K18" i="3"/>
  <c r="J26" i="3"/>
  <c r="K26" i="3" s="1"/>
  <c r="N22" i="3"/>
  <c r="K37" i="3"/>
  <c r="N52" i="3"/>
  <c r="N21" i="3"/>
  <c r="K7" i="3"/>
  <c r="N31" i="3"/>
  <c r="J14" i="3"/>
  <c r="N14" i="3"/>
  <c r="N37" i="3"/>
  <c r="J5" i="3"/>
  <c r="J15" i="3"/>
  <c r="K15" i="3" s="1"/>
  <c r="K16" i="3"/>
  <c r="N19" i="3"/>
  <c r="N20" i="3"/>
  <c r="N32" i="3"/>
  <c r="N34" i="3"/>
  <c r="N36" i="3"/>
  <c r="N39" i="3"/>
  <c r="N47" i="3"/>
  <c r="U10" i="3"/>
  <c r="N23" i="3"/>
  <c r="N27" i="3"/>
  <c r="K46" i="3"/>
  <c r="N9" i="3"/>
  <c r="N28" i="3"/>
  <c r="N38" i="3"/>
  <c r="N48" i="3"/>
  <c r="N26" i="3"/>
  <c r="N15" i="3"/>
  <c r="N24" i="3"/>
  <c r="N53" i="3"/>
  <c r="K19" i="3"/>
  <c r="N17" i="3"/>
  <c r="N35" i="3"/>
  <c r="N50" i="3"/>
  <c r="K53" i="3"/>
  <c r="G19" i="6"/>
  <c r="G20" i="6"/>
  <c r="J52" i="3"/>
  <c r="K50" i="3"/>
  <c r="K48" i="3"/>
  <c r="J47" i="3"/>
  <c r="I45" i="3"/>
  <c r="J44" i="3"/>
  <c r="K43" i="3"/>
  <c r="N41" i="3"/>
  <c r="K41" i="3"/>
  <c r="J40" i="3"/>
  <c r="G16" i="6"/>
  <c r="E16" i="6"/>
  <c r="E11" i="6" a="1"/>
  <c r="G21" i="6" a="1"/>
  <c r="G21" i="6" l="1"/>
  <c r="O39" i="3"/>
  <c r="O17" i="3"/>
  <c r="O36" i="3"/>
  <c r="O31" i="3"/>
  <c r="O26" i="3"/>
  <c r="O7" i="3"/>
  <c r="O14" i="3"/>
  <c r="O22" i="3"/>
  <c r="O16" i="3"/>
  <c r="O10" i="3"/>
  <c r="O35" i="3"/>
  <c r="O25" i="3"/>
  <c r="O34" i="3"/>
  <c r="O29" i="3"/>
  <c r="O24" i="3"/>
  <c r="O19" i="3"/>
  <c r="O18" i="3"/>
  <c r="O8" i="3"/>
  <c r="U16" i="3"/>
  <c r="O6" i="3"/>
  <c r="O11" i="3"/>
  <c r="O21" i="3"/>
  <c r="O37" i="3"/>
  <c r="O20" i="3"/>
  <c r="O12" i="3"/>
  <c r="O27" i="3"/>
  <c r="O9" i="3"/>
  <c r="O30" i="3"/>
  <c r="O38" i="3"/>
  <c r="O33" i="3"/>
  <c r="O28" i="3"/>
  <c r="O13" i="3"/>
  <c r="O23" i="3"/>
  <c r="O32" i="3"/>
  <c r="O15" i="3"/>
  <c r="O43" i="3"/>
  <c r="O44" i="3"/>
  <c r="U13" i="3"/>
  <c r="G11" i="7"/>
  <c r="O42" i="3"/>
  <c r="O40" i="3"/>
  <c r="O48" i="3"/>
  <c r="O41" i="3"/>
  <c r="O47" i="3"/>
  <c r="K5" i="3"/>
  <c r="K52" i="3"/>
  <c r="K47" i="3"/>
  <c r="J45" i="3"/>
  <c r="K44" i="3"/>
  <c r="E11" i="6"/>
  <c r="K40" i="3"/>
  <c r="P40" i="3" s="1"/>
  <c r="G22" i="6" a="1"/>
  <c r="G22" i="6" l="1"/>
  <c r="P50" i="3"/>
  <c r="P53" i="3"/>
  <c r="P42" i="3"/>
  <c r="O45" i="3"/>
  <c r="O53" i="3"/>
  <c r="O46" i="3"/>
  <c r="P48" i="3"/>
  <c r="P44" i="3"/>
  <c r="P43" i="3"/>
  <c r="P47" i="3"/>
  <c r="P52" i="3"/>
  <c r="P41" i="3"/>
  <c r="H11" i="7"/>
  <c r="J11" i="7" s="1"/>
  <c r="W16" i="3"/>
  <c r="P46" i="3"/>
  <c r="O51" i="3"/>
  <c r="O52" i="3"/>
  <c r="P18" i="3"/>
  <c r="P6" i="3"/>
  <c r="P29" i="3"/>
  <c r="P22" i="3"/>
  <c r="P10" i="3"/>
  <c r="P13" i="3"/>
  <c r="P26" i="3"/>
  <c r="P21" i="3"/>
  <c r="P51" i="3"/>
  <c r="P31" i="3"/>
  <c r="P24" i="3"/>
  <c r="P7" i="3"/>
  <c r="P39" i="3"/>
  <c r="P32" i="3"/>
  <c r="P27" i="3"/>
  <c r="P23" i="3"/>
  <c r="P19" i="3"/>
  <c r="P12" i="3"/>
  <c r="P11" i="3"/>
  <c r="P16" i="3"/>
  <c r="P37" i="3"/>
  <c r="P36" i="3"/>
  <c r="P33" i="3"/>
  <c r="P28" i="3"/>
  <c r="P20" i="3"/>
  <c r="P17" i="3"/>
  <c r="P38" i="3"/>
  <c r="P9" i="3"/>
  <c r="P34" i="3"/>
  <c r="P14" i="3"/>
  <c r="P8" i="3"/>
  <c r="P35" i="3"/>
  <c r="P25" i="3"/>
  <c r="P15" i="3"/>
  <c r="P30" i="3"/>
  <c r="P49" i="3"/>
  <c r="O50" i="3"/>
  <c r="O49" i="3"/>
  <c r="K45" i="3"/>
  <c r="P45" i="3" s="1"/>
  <c r="Z16" i="3" l="1"/>
  <c r="Y16" i="3"/>
  <c r="X1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<sst xmlns="http://schemas.openxmlformats.org/spreadsheetml/2006/main" count="256" uniqueCount="169">
  <si>
    <t>Fraser General Store Inc</t>
  </si>
  <si>
    <t>E14537071</t>
  </si>
  <si>
    <t>Month</t>
  </si>
  <si>
    <t>Date start</t>
  </si>
  <si>
    <t>Date End</t>
  </si>
  <si>
    <t>kWh whole array</t>
  </si>
  <si>
    <t>kWh D&amp;W</t>
  </si>
  <si>
    <t>April</t>
  </si>
  <si>
    <t>March</t>
  </si>
  <si>
    <t>Tariff</t>
  </si>
  <si>
    <t>Adder</t>
  </si>
  <si>
    <t>Value</t>
  </si>
  <si>
    <t>Bill</t>
  </si>
  <si>
    <t>Savings</t>
  </si>
  <si>
    <t>May</t>
  </si>
  <si>
    <t>June</t>
  </si>
  <si>
    <t xml:space="preserve">July </t>
  </si>
  <si>
    <t>7/20/2018</t>
  </si>
  <si>
    <t>August</t>
  </si>
  <si>
    <t>September</t>
  </si>
  <si>
    <t>October</t>
  </si>
  <si>
    <t>November</t>
  </si>
  <si>
    <t>December</t>
  </si>
  <si>
    <t>January</t>
  </si>
  <si>
    <t>February</t>
  </si>
  <si>
    <t xml:space="preserve">Juuly </t>
  </si>
  <si>
    <t>Aguust</t>
  </si>
  <si>
    <t>CUSTOMER</t>
  </si>
  <si>
    <t>ADDRESS</t>
  </si>
  <si>
    <t>ACCT #</t>
  </si>
  <si>
    <t>METER #</t>
  </si>
  <si>
    <t>319 Main Street, Norwich VT 05055</t>
  </si>
  <si>
    <t>Price Factor (100% - discount)</t>
  </si>
  <si>
    <t>Percent of solar net metering credits from the array to CUSTOMER</t>
  </si>
  <si>
    <t>One-time inputs</t>
  </si>
  <si>
    <t>Monthly inputs</t>
  </si>
  <si>
    <t xml:space="preserve"> </t>
  </si>
  <si>
    <t>HCT Sun Enterprises, LLC</t>
  </si>
  <si>
    <t>102 Kendall Station Road</t>
  </si>
  <si>
    <t>Ph:  443 824 1946</t>
  </si>
  <si>
    <t>Invoice - Solar Power Generation</t>
  </si>
  <si>
    <t>From</t>
  </si>
  <si>
    <t>To</t>
  </si>
  <si>
    <t xml:space="preserve">Time Period Covered: </t>
  </si>
  <si>
    <t>Due Date:  (28 days)</t>
  </si>
  <si>
    <t>Please make check payable to HCT Sun Enterprises, LLC</t>
  </si>
  <si>
    <t>HCT Sun Enterprises, LLC.    102 Kendall Station Road, Norwich, VT. 05055</t>
  </si>
  <si>
    <t xml:space="preserve">Invoice Number: </t>
  </si>
  <si>
    <t xml:space="preserve">Invoice Date: </t>
  </si>
  <si>
    <t>Actual</t>
  </si>
  <si>
    <t>Flat Rate</t>
  </si>
  <si>
    <t>Year 1</t>
  </si>
  <si>
    <t>Total KwH Projected</t>
  </si>
  <si>
    <t>Actual KwH Produced</t>
  </si>
  <si>
    <t>Total Amount invoiced</t>
  </si>
  <si>
    <t>Actual KwH x 90% of credit value</t>
  </si>
  <si>
    <t>Amount due</t>
  </si>
  <si>
    <t>Due Date</t>
  </si>
  <si>
    <t>Annual True Up</t>
  </si>
  <si>
    <t>Year 2</t>
  </si>
  <si>
    <t>Valley Cares, Inc.</t>
  </si>
  <si>
    <t>kWh Valley Cares, Inc</t>
  </si>
  <si>
    <t>Description</t>
  </si>
  <si>
    <t>Please note: an annual true up invoice will be sent in September in addition to the monthly invoice</t>
  </si>
  <si>
    <t>email:  cbozuwa@gmail.com</t>
  </si>
  <si>
    <t>Cummulative</t>
  </si>
  <si>
    <t>KwH</t>
  </si>
  <si>
    <t>Norwich, VT  05055</t>
  </si>
  <si>
    <t>HCT Sun Enterprises, LLC.    102 Kendall Station Road, Norwich, VT 05055</t>
  </si>
  <si>
    <t>paid</t>
  </si>
  <si>
    <t>Starting 4/25/22 95%</t>
  </si>
  <si>
    <t>2022-08</t>
  </si>
  <si>
    <t>TTM Billed</t>
  </si>
  <si>
    <t>Diff</t>
  </si>
  <si>
    <t>TTM Actual</t>
  </si>
  <si>
    <t>ALP</t>
  </si>
  <si>
    <t>SLP</t>
  </si>
  <si>
    <t>VC</t>
  </si>
  <si>
    <t>Annual projected KwH</t>
  </si>
  <si>
    <t>Actual KwH</t>
  </si>
  <si>
    <t>HCT Sun Enterprises paid to ValleyCares by check 10/XX/22</t>
  </si>
  <si>
    <t>New monthly (actual 2021 KwH and new 2022 rates) at 90%</t>
  </si>
  <si>
    <t>PAID to VC by check on 10/4/22</t>
  </si>
  <si>
    <t>New Row #</t>
  </si>
  <si>
    <t>Invoice #</t>
  </si>
  <si>
    <t>2022-09</t>
  </si>
  <si>
    <t>2022-07</t>
  </si>
  <si>
    <t>2022-06</t>
  </si>
  <si>
    <t>2022-05</t>
  </si>
  <si>
    <t>2022-04</t>
  </si>
  <si>
    <t>2022-03</t>
  </si>
  <si>
    <t>2022-02</t>
  </si>
  <si>
    <t>2022-01</t>
  </si>
  <si>
    <t>2021-11</t>
  </si>
  <si>
    <t>2021-12</t>
  </si>
  <si>
    <t>2022-10</t>
  </si>
  <si>
    <t xml:space="preserve">true up </t>
  </si>
  <si>
    <t>($738.27), $(314.85), ($32.57)</t>
  </si>
  <si>
    <t>3 checks sent:</t>
  </si>
  <si>
    <t xml:space="preserve"> Oct 2021 thru April 2022  billing at 100% 3/24-4/25/22</t>
  </si>
  <si>
    <t>2022-11</t>
  </si>
  <si>
    <t>N/A  (credit)</t>
  </si>
  <si>
    <t>2022-12</t>
  </si>
  <si>
    <t>check bank</t>
  </si>
  <si>
    <t>2023-01</t>
  </si>
  <si>
    <t>2023-02</t>
  </si>
  <si>
    <t>2023-03</t>
  </si>
  <si>
    <t>late</t>
  </si>
  <si>
    <t>2023-04</t>
  </si>
  <si>
    <t>2023-05</t>
  </si>
  <si>
    <t>2023-06</t>
  </si>
  <si>
    <t>2023-07</t>
  </si>
  <si>
    <t>2023-08</t>
  </si>
  <si>
    <t>2023-09</t>
  </si>
  <si>
    <t>2023-10</t>
  </si>
  <si>
    <t>Paid $1,841.34 net of True Up</t>
  </si>
  <si>
    <t>2023-11</t>
  </si>
  <si>
    <t>2023-12</t>
  </si>
  <si>
    <t>2024-01</t>
  </si>
  <si>
    <t>2024-02</t>
  </si>
  <si>
    <t>2024-03</t>
  </si>
  <si>
    <t>***2 cent adder is for 10 years only! _2021-2031</t>
  </si>
  <si>
    <t>2024-04</t>
  </si>
  <si>
    <t>2024-05</t>
  </si>
  <si>
    <t>2024-06</t>
  </si>
  <si>
    <t>Attn:  Paul Bozuwa, Colleen Barr</t>
  </si>
  <si>
    <t>2024-07</t>
  </si>
  <si>
    <t>2024-08</t>
  </si>
  <si>
    <t>2024-09</t>
  </si>
  <si>
    <t>Year 3</t>
  </si>
  <si>
    <t>deducted</t>
  </si>
  <si>
    <t>paid VC</t>
  </si>
  <si>
    <t>2024-10</t>
  </si>
  <si>
    <t xml:space="preserve">Billing at the estimated rate of $2,100.00 </t>
  </si>
  <si>
    <t>2024-11</t>
  </si>
  <si>
    <t>2024-12</t>
  </si>
  <si>
    <t>2025-01</t>
  </si>
  <si>
    <t>2025-02</t>
  </si>
  <si>
    <t>2025-03</t>
  </si>
  <si>
    <t>2025-04</t>
  </si>
  <si>
    <t>2025-05</t>
  </si>
  <si>
    <t xml:space="preserve">double check energy generated, same as april </t>
  </si>
  <si>
    <t>2025-06</t>
  </si>
  <si>
    <t>deposited in personal checking and transferred to HCT Sun Account</t>
  </si>
  <si>
    <t>2025-07</t>
  </si>
  <si>
    <t>2025-08</t>
  </si>
  <si>
    <t>2025-09</t>
  </si>
  <si>
    <t>Year 4</t>
  </si>
  <si>
    <t>Paid 11-19-24</t>
  </si>
  <si>
    <t>Note - actual results for the billing period</t>
  </si>
  <si>
    <t xml:space="preserve">KWH: </t>
  </si>
  <si>
    <t xml:space="preserve">Solar Value: </t>
  </si>
  <si>
    <t>Billing Rate: 90%</t>
  </si>
  <si>
    <t xml:space="preserve">Solar Savings: </t>
  </si>
  <si>
    <t>2025-TU</t>
  </si>
  <si>
    <t>2025-10</t>
  </si>
  <si>
    <t>2025-11</t>
  </si>
  <si>
    <t>Amount Due:</t>
  </si>
  <si>
    <t>Paid 12-14-25</t>
  </si>
  <si>
    <t>2025-12</t>
  </si>
  <si>
    <t>Valley Village (Valley Cares, Inc)</t>
  </si>
  <si>
    <t>2026-01</t>
  </si>
  <si>
    <t>2026-02</t>
  </si>
  <si>
    <t>*decimal point rounded down in savings amount</t>
  </si>
  <si>
    <t>2026-03</t>
  </si>
  <si>
    <t>2026-04</t>
  </si>
  <si>
    <t>2026-05</t>
  </si>
  <si>
    <t>Solar Credits for Valley Village Meter:</t>
  </si>
  <si>
    <t xml:space="preserve">6061037 (95%)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</si>
</sst>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  <numFmt numFmtId="167" formatCode="_(* #,##0.000_);_(* \(#,##0.000\);_(* &quot;-&quot;??_);_(@_)"/>
    <numFmt numFmtId="168" formatCode="_(* #,##0.00000_);_(* \(#,##0.00000\);_(* &quot;-&quot;??_);_(@_)"/>
    <numFmt numFmtId="169" formatCode="&quot;$&quot;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halkboard"/>
      <family val="4"/>
    </font>
    <font>
      <b/>
      <sz val="16"/>
      <color theme="1"/>
      <name val="Chalkboard"/>
      <family val="4"/>
    </font>
    <font>
      <b/>
      <sz val="16"/>
      <color theme="1"/>
      <name val="Calibri"/>
      <family val="2"/>
      <scheme val="minor"/>
    </font>
    <font>
      <i/>
      <sz val="12"/>
      <color theme="1"/>
      <name val="Chalkboard"/>
      <family val="4"/>
    </font>
    <font>
      <i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 (Body)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6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0" fillId="2" borderId="0" xfId="0" applyFill="1"/>
    <xf numFmtId="165" fontId="0" fillId="0" borderId="0" xfId="0" applyNumberFormat="1"/>
    <xf numFmtId="44" fontId="0" fillId="0" borderId="0" xfId="2" applyFo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3" borderId="0" xfId="0" applyFill="1" applyAlignment="1">
      <alignment wrapText="1"/>
    </xf>
    <xf numFmtId="10" fontId="0" fillId="3" borderId="0" xfId="1" applyNumberFormat="1" applyFont="1" applyFill="1"/>
    <xf numFmtId="9" fontId="0" fillId="3" borderId="0" xfId="1" applyFont="1" applyFill="1"/>
    <xf numFmtId="0" fontId="0" fillId="2" borderId="0" xfId="0" applyFill="1" applyAlignment="1">
      <alignment wrapText="1"/>
    </xf>
    <xf numFmtId="0" fontId="0" fillId="4" borderId="0" xfId="0" applyFill="1" applyAlignment="1">
      <alignment horizontal="left" wrapText="1"/>
    </xf>
    <xf numFmtId="0" fontId="0" fillId="4" borderId="0" xfId="0" applyFill="1" applyAlignment="1">
      <alignment wrapText="1"/>
    </xf>
    <xf numFmtId="0" fontId="0" fillId="4" borderId="0" xfId="0" applyFill="1" applyAlignment="1">
      <alignment horizontal="left"/>
    </xf>
    <xf numFmtId="0" fontId="0" fillId="2" borderId="0" xfId="0" applyFill="1" applyAlignment="1">
      <alignment horizontal="left"/>
    </xf>
    <xf numFmtId="14" fontId="0" fillId="2" borderId="0" xfId="0" applyNumberFormat="1" applyFill="1"/>
    <xf numFmtId="14" fontId="0" fillId="2" borderId="0" xfId="0" applyNumberFormat="1" applyFill="1" applyAlignment="1">
      <alignment horizontal="left"/>
    </xf>
    <xf numFmtId="49" fontId="0" fillId="2" borderId="0" xfId="0" applyNumberFormat="1" applyFill="1" applyAlignment="1">
      <alignment horizontal="left"/>
    </xf>
    <xf numFmtId="14" fontId="0" fillId="2" borderId="0" xfId="0" applyNumberFormat="1" applyFill="1" applyAlignment="1">
      <alignment horizontal="right"/>
    </xf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44" fontId="3" fillId="0" borderId="0" xfId="2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6" fillId="0" borderId="0" xfId="0" applyFont="1"/>
    <xf numFmtId="0" fontId="2" fillId="0" borderId="8" xfId="0" applyFont="1" applyBorder="1"/>
    <xf numFmtId="0" fontId="2" fillId="0" borderId="8" xfId="0" applyFont="1" applyBorder="1" applyAlignment="1">
      <alignment horizontal="right"/>
    </xf>
    <xf numFmtId="14" fontId="3" fillId="0" borderId="0" xfId="0" applyNumberFormat="1" applyFont="1"/>
    <xf numFmtId="0" fontId="5" fillId="0" borderId="0" xfId="0" applyFont="1" applyAlignment="1">
      <alignment horizontal="right"/>
    </xf>
    <xf numFmtId="44" fontId="4" fillId="0" borderId="0" xfId="2" applyFont="1" applyBorder="1" applyAlignment="1">
      <alignment horizontal="right"/>
    </xf>
    <xf numFmtId="0" fontId="2" fillId="0" borderId="2" xfId="0" applyFont="1" applyBorder="1"/>
    <xf numFmtId="0" fontId="2" fillId="0" borderId="4" xfId="0" applyFont="1" applyBorder="1"/>
    <xf numFmtId="0" fontId="3" fillId="0" borderId="4" xfId="0" applyFont="1" applyBorder="1"/>
    <xf numFmtId="0" fontId="5" fillId="0" borderId="8" xfId="0" applyFont="1" applyBorder="1"/>
    <xf numFmtId="0" fontId="2" fillId="0" borderId="6" xfId="0" applyFont="1" applyBorder="1"/>
    <xf numFmtId="166" fontId="3" fillId="0" borderId="0" xfId="3" applyNumberFormat="1" applyFont="1" applyBorder="1"/>
    <xf numFmtId="44" fontId="3" fillId="0" borderId="0" xfId="2" applyFont="1" applyBorder="1"/>
    <xf numFmtId="0" fontId="0" fillId="0" borderId="3" xfId="0" applyBorder="1" applyAlignment="1">
      <alignment wrapText="1"/>
    </xf>
    <xf numFmtId="0" fontId="3" fillId="0" borderId="0" xfId="0" applyFont="1" applyAlignment="1">
      <alignment wrapText="1"/>
    </xf>
    <xf numFmtId="14" fontId="3" fillId="0" borderId="0" xfId="0" applyNumberFormat="1" applyFont="1" applyAlignment="1">
      <alignment horizontal="right" wrapText="1"/>
    </xf>
    <xf numFmtId="14" fontId="3" fillId="0" borderId="0" xfId="0" applyNumberFormat="1" applyFont="1" applyAlignment="1">
      <alignment wrapText="1"/>
    </xf>
    <xf numFmtId="0" fontId="3" fillId="0" borderId="4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9" xfId="0" applyFont="1" applyBorder="1"/>
    <xf numFmtId="0" fontId="3" fillId="0" borderId="1" xfId="0" applyFont="1" applyBorder="1"/>
    <xf numFmtId="0" fontId="3" fillId="0" borderId="7" xfId="0" applyFont="1" applyBorder="1"/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/>
    <xf numFmtId="0" fontId="3" fillId="0" borderId="10" xfId="0" applyFont="1" applyBorder="1"/>
    <xf numFmtId="0" fontId="3" fillId="0" borderId="11" xfId="0" applyFont="1" applyBorder="1" applyAlignment="1">
      <alignment wrapText="1"/>
    </xf>
    <xf numFmtId="0" fontId="6" fillId="0" borderId="3" xfId="0" applyFont="1" applyBorder="1"/>
    <xf numFmtId="0" fontId="5" fillId="0" borderId="5" xfId="0" applyFont="1" applyBorder="1"/>
    <xf numFmtId="0" fontId="3" fillId="0" borderId="8" xfId="0" applyFont="1" applyBorder="1"/>
    <xf numFmtId="0" fontId="3" fillId="0" borderId="8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5" borderId="12" xfId="0" applyFont="1" applyFill="1" applyBorder="1"/>
    <xf numFmtId="14" fontId="3" fillId="5" borderId="13" xfId="0" applyNumberFormat="1" applyFont="1" applyFill="1" applyBorder="1"/>
    <xf numFmtId="166" fontId="3" fillId="5" borderId="13" xfId="3" applyNumberFormat="1" applyFont="1" applyFill="1" applyBorder="1" applyAlignment="1">
      <alignment wrapText="1"/>
    </xf>
    <xf numFmtId="44" fontId="3" fillId="5" borderId="13" xfId="2" applyFont="1" applyFill="1" applyBorder="1" applyAlignment="1">
      <alignment wrapText="1"/>
    </xf>
    <xf numFmtId="14" fontId="3" fillId="5" borderId="14" xfId="0" applyNumberFormat="1" applyFont="1" applyFill="1" applyBorder="1" applyAlignment="1">
      <alignment wrapText="1"/>
    </xf>
    <xf numFmtId="0" fontId="3" fillId="0" borderId="15" xfId="0" applyFont="1" applyBorder="1"/>
    <xf numFmtId="14" fontId="3" fillId="0" borderId="16" xfId="0" applyNumberFormat="1" applyFont="1" applyBorder="1"/>
    <xf numFmtId="166" fontId="3" fillId="0" borderId="16" xfId="3" applyNumberFormat="1" applyFont="1" applyBorder="1" applyAlignment="1">
      <alignment wrapText="1"/>
    </xf>
    <xf numFmtId="44" fontId="3" fillId="0" borderId="16" xfId="2" applyFont="1" applyBorder="1" applyAlignment="1">
      <alignment wrapText="1"/>
    </xf>
    <xf numFmtId="14" fontId="3" fillId="0" borderId="17" xfId="0" applyNumberFormat="1" applyFont="1" applyBorder="1" applyAlignment="1">
      <alignment wrapText="1"/>
    </xf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4" fontId="6" fillId="0" borderId="0" xfId="0" applyNumberFormat="1" applyFont="1" applyAlignment="1">
      <alignment horizontal="right"/>
    </xf>
    <xf numFmtId="14" fontId="6" fillId="0" borderId="0" xfId="0" applyNumberFormat="1" applyFont="1"/>
    <xf numFmtId="0" fontId="7" fillId="0" borderId="0" xfId="0" applyFont="1" applyAlignment="1">
      <alignment horizontal="right"/>
    </xf>
    <xf numFmtId="166" fontId="6" fillId="0" borderId="0" xfId="3" applyNumberFormat="1" applyFont="1" applyFill="1" applyBorder="1" applyAlignment="1">
      <alignment horizontal="right"/>
    </xf>
    <xf numFmtId="2" fontId="6" fillId="0" borderId="0" xfId="0" applyNumberFormat="1" applyFont="1" applyAlignment="1">
      <alignment horizontal="right"/>
    </xf>
    <xf numFmtId="44" fontId="6" fillId="0" borderId="0" xfId="2" applyFont="1" applyFill="1" applyBorder="1" applyAlignment="1">
      <alignment horizontal="right"/>
    </xf>
    <xf numFmtId="0" fontId="6" fillId="0" borderId="0" xfId="0" applyFont="1" applyAlignment="1">
      <alignment horizontal="right"/>
    </xf>
    <xf numFmtId="14" fontId="0" fillId="0" borderId="0" xfId="0" applyNumberFormat="1" applyAlignment="1">
      <alignment horizontal="left" vertical="top"/>
    </xf>
    <xf numFmtId="43" fontId="0" fillId="0" borderId="0" xfId="3" applyFont="1" applyFill="1"/>
    <xf numFmtId="14" fontId="0" fillId="0" borderId="0" xfId="0" applyNumberFormat="1"/>
    <xf numFmtId="43" fontId="0" fillId="0" borderId="0" xfId="3" applyFont="1" applyFill="1" applyAlignment="1">
      <alignment horizontal="left"/>
    </xf>
    <xf numFmtId="43" fontId="0" fillId="0" borderId="0" xfId="3" applyFont="1" applyFill="1" applyBorder="1" applyAlignment="1">
      <alignment horizontal="left"/>
    </xf>
    <xf numFmtId="43" fontId="0" fillId="0" borderId="0" xfId="3" applyFont="1"/>
    <xf numFmtId="43" fontId="0" fillId="0" borderId="0" xfId="0" applyNumberFormat="1" applyAlignment="1">
      <alignment horizontal="left"/>
    </xf>
    <xf numFmtId="9" fontId="0" fillId="0" borderId="0" xfId="1" applyFont="1"/>
    <xf numFmtId="44" fontId="0" fillId="0" borderId="0" xfId="0" applyNumberFormat="1"/>
    <xf numFmtId="43" fontId="0" fillId="0" borderId="0" xfId="0" applyNumberFormat="1"/>
    <xf numFmtId="0" fontId="0" fillId="0" borderId="9" xfId="0" applyBorder="1"/>
    <xf numFmtId="9" fontId="0" fillId="0" borderId="9" xfId="0" applyNumberFormat="1" applyBorder="1"/>
    <xf numFmtId="44" fontId="0" fillId="0" borderId="9" xfId="2" applyFont="1" applyBorder="1"/>
    <xf numFmtId="167" fontId="0" fillId="0" borderId="0" xfId="0" applyNumberFormat="1"/>
    <xf numFmtId="9" fontId="0" fillId="0" borderId="0" xfId="0" applyNumberFormat="1"/>
    <xf numFmtId="0" fontId="8" fillId="6" borderId="0" xfId="0" applyFont="1" applyFill="1"/>
    <xf numFmtId="0" fontId="0" fillId="0" borderId="18" xfId="0" applyBorder="1" applyAlignment="1">
      <alignment horizontal="left"/>
    </xf>
    <xf numFmtId="14" fontId="0" fillId="0" borderId="18" xfId="0" applyNumberFormat="1" applyBorder="1" applyAlignment="1">
      <alignment horizontal="left"/>
    </xf>
    <xf numFmtId="43" fontId="0" fillId="0" borderId="18" xfId="3" applyFont="1" applyFill="1" applyBorder="1" applyAlignment="1">
      <alignment horizontal="left"/>
    </xf>
    <xf numFmtId="43" fontId="0" fillId="0" borderId="18" xfId="3" applyFont="1" applyFill="1" applyBorder="1"/>
    <xf numFmtId="0" fontId="0" fillId="0" borderId="18" xfId="0" applyBorder="1"/>
    <xf numFmtId="44" fontId="0" fillId="0" borderId="18" xfId="2" applyFont="1" applyBorder="1"/>
    <xf numFmtId="43" fontId="0" fillId="0" borderId="18" xfId="0" applyNumberFormat="1" applyBorder="1" applyAlignment="1">
      <alignment horizontal="left"/>
    </xf>
    <xf numFmtId="43" fontId="0" fillId="0" borderId="18" xfId="3" applyFont="1" applyBorder="1"/>
    <xf numFmtId="43" fontId="0" fillId="0" borderId="18" xfId="3" applyFont="1" applyBorder="1" applyAlignment="1">
      <alignment horizontal="left"/>
    </xf>
    <xf numFmtId="43" fontId="0" fillId="0" borderId="0" xfId="3" applyFont="1" applyFill="1" applyBorder="1"/>
    <xf numFmtId="44" fontId="0" fillId="0" borderId="0" xfId="2" applyFont="1" applyBorder="1"/>
    <xf numFmtId="43" fontId="0" fillId="0" borderId="0" xfId="3" applyFont="1" applyBorder="1"/>
    <xf numFmtId="14" fontId="0" fillId="2" borderId="18" xfId="0" applyNumberFormat="1" applyFill="1" applyBorder="1"/>
    <xf numFmtId="0" fontId="9" fillId="0" borderId="0" xfId="0" applyFont="1"/>
    <xf numFmtId="168" fontId="0" fillId="0" borderId="0" xfId="3" applyNumberFormat="1" applyFont="1"/>
    <xf numFmtId="44" fontId="3" fillId="0" borderId="0" xfId="2" applyFont="1" applyAlignment="1">
      <alignment wrapText="1"/>
    </xf>
    <xf numFmtId="168" fontId="0" fillId="0" borderId="18" xfId="3" applyNumberFormat="1" applyFont="1" applyBorder="1"/>
    <xf numFmtId="14" fontId="0" fillId="0" borderId="18" xfId="0" applyNumberFormat="1" applyBorder="1"/>
    <xf numFmtId="0" fontId="3" fillId="0" borderId="5" xfId="0" applyFont="1" applyBorder="1"/>
    <xf numFmtId="14" fontId="3" fillId="0" borderId="8" xfId="0" applyNumberFormat="1" applyFont="1" applyBorder="1"/>
    <xf numFmtId="44" fontId="3" fillId="5" borderId="19" xfId="2" applyFont="1" applyFill="1" applyBorder="1" applyAlignment="1">
      <alignment wrapText="1"/>
    </xf>
    <xf numFmtId="44" fontId="3" fillId="0" borderId="8" xfId="2" applyFont="1" applyBorder="1" applyAlignment="1">
      <alignment wrapText="1"/>
    </xf>
    <xf numFmtId="166" fontId="3" fillId="0" borderId="20" xfId="3" applyNumberFormat="1" applyFont="1" applyBorder="1" applyAlignment="1">
      <alignment wrapText="1"/>
    </xf>
    <xf numFmtId="44" fontId="3" fillId="5" borderId="20" xfId="2" applyFont="1" applyFill="1" applyBorder="1" applyAlignment="1">
      <alignment wrapText="1"/>
    </xf>
    <xf numFmtId="14" fontId="3" fillId="0" borderId="6" xfId="0" applyNumberFormat="1" applyFont="1" applyBorder="1" applyAlignment="1">
      <alignment wrapText="1"/>
    </xf>
    <xf numFmtId="0" fontId="6" fillId="5" borderId="0" xfId="0" applyFont="1" applyFill="1"/>
    <xf numFmtId="14" fontId="6" fillId="5" borderId="0" xfId="0" applyNumberFormat="1" applyFont="1" applyFill="1" applyAlignment="1">
      <alignment horizontal="right"/>
    </xf>
    <xf numFmtId="14" fontId="6" fillId="5" borderId="0" xfId="0" applyNumberFormat="1" applyFont="1" applyFill="1"/>
    <xf numFmtId="0" fontId="7" fillId="5" borderId="0" xfId="0" applyFont="1" applyFill="1" applyAlignment="1">
      <alignment horizontal="right"/>
    </xf>
    <xf numFmtId="166" fontId="6" fillId="5" borderId="0" xfId="3" applyNumberFormat="1" applyFont="1" applyFill="1" applyBorder="1" applyAlignment="1">
      <alignment horizontal="right"/>
    </xf>
    <xf numFmtId="44" fontId="6" fillId="5" borderId="0" xfId="2" applyFont="1" applyFill="1" applyBorder="1" applyAlignment="1">
      <alignment horizontal="right"/>
    </xf>
    <xf numFmtId="0" fontId="6" fillId="5" borderId="0" xfId="0" applyFont="1" applyFill="1" applyAlignment="1">
      <alignment horizontal="right"/>
    </xf>
    <xf numFmtId="169" fontId="3" fillId="0" borderId="0" xfId="0" applyNumberFormat="1" applyFont="1" applyAlignment="1">
      <alignment horizontal="right"/>
    </xf>
    <xf numFmtId="0" fontId="0" fillId="0" borderId="8" xfId="0" applyBorder="1" applyAlignment="1">
      <alignment horizontal="left"/>
    </xf>
    <xf numFmtId="14" fontId="0" fillId="0" borderId="8" xfId="0" applyNumberFormat="1" applyBorder="1" applyAlignment="1">
      <alignment horizontal="left"/>
    </xf>
    <xf numFmtId="43" fontId="0" fillId="0" borderId="8" xfId="3" applyFont="1" applyFill="1" applyBorder="1"/>
    <xf numFmtId="168" fontId="0" fillId="0" borderId="8" xfId="3" applyNumberFormat="1" applyFont="1" applyBorder="1"/>
    <xf numFmtId="0" fontId="0" fillId="0" borderId="8" xfId="0" applyBorder="1"/>
    <xf numFmtId="44" fontId="0" fillId="0" borderId="8" xfId="2" applyFont="1" applyBorder="1"/>
    <xf numFmtId="43" fontId="0" fillId="0" borderId="8" xfId="0" applyNumberFormat="1" applyBorder="1" applyAlignment="1">
      <alignment horizontal="left"/>
    </xf>
    <xf numFmtId="43" fontId="0" fillId="0" borderId="8" xfId="3" applyFont="1" applyBorder="1"/>
    <xf numFmtId="44" fontId="3" fillId="0" borderId="21" xfId="0" applyNumberFormat="1" applyFont="1" applyBorder="1" applyAlignment="1">
      <alignment wrapText="1"/>
    </xf>
    <xf numFmtId="44" fontId="3" fillId="0" borderId="22" xfId="0" applyNumberFormat="1" applyFont="1" applyBorder="1" applyAlignment="1">
      <alignment wrapText="1"/>
    </xf>
    <xf numFmtId="14" fontId="0" fillId="0" borderId="8" xfId="0" applyNumberFormat="1" applyBorder="1"/>
    <xf numFmtId="168" fontId="0" fillId="0" borderId="0" xfId="3" applyNumberFormat="1" applyFont="1" applyBorder="1"/>
    <xf numFmtId="8" fontId="3" fillId="0" borderId="0" xfId="0" applyNumberFormat="1" applyFont="1" applyAlignment="1">
      <alignment horizontal="right"/>
    </xf>
  </cellXfs>
  <cellStyles count="4">
    <cellStyle name="Comma" xfId="3" builtinId="3"/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TTM Trend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>
                <a:outerShdw blurRad="50800" dist="50800" dir="5400000" algn="ctr" rotWithShape="0">
                  <a:schemeClr val="accent2"/>
                </a:outerShdw>
              </a:effectLst>
            </c:spPr>
            <c:trendlineType val="movingAvg"/>
            <c:period val="12"/>
            <c:dispRSqr val="0"/>
            <c:dispEq val="0"/>
          </c:trendline>
          <c:cat>
            <c:strRef>
              <c:f>'Valley Cares Data'!$A$5:$A$51</c:f>
              <c:strCache>
                <c:ptCount val="47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 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  <c:pt idx="13">
                  <c:v>November</c:v>
                </c:pt>
                <c:pt idx="14">
                  <c:v>December</c:v>
                </c:pt>
                <c:pt idx="15">
                  <c:v>January</c:v>
                </c:pt>
                <c:pt idx="16">
                  <c:v>February</c:v>
                </c:pt>
                <c:pt idx="17">
                  <c:v>March</c:v>
                </c:pt>
                <c:pt idx="18">
                  <c:v>April</c:v>
                </c:pt>
                <c:pt idx="19">
                  <c:v>May</c:v>
                </c:pt>
                <c:pt idx="20">
                  <c:v>June</c:v>
                </c:pt>
                <c:pt idx="21">
                  <c:v>July </c:v>
                </c:pt>
                <c:pt idx="22">
                  <c:v>August</c:v>
                </c:pt>
                <c:pt idx="23">
                  <c:v>September</c:v>
                </c:pt>
                <c:pt idx="24">
                  <c:v>October</c:v>
                </c:pt>
                <c:pt idx="25">
                  <c:v>November</c:v>
                </c:pt>
                <c:pt idx="26">
                  <c:v>December</c:v>
                </c:pt>
                <c:pt idx="27">
                  <c:v>January</c:v>
                </c:pt>
                <c:pt idx="28">
                  <c:v>February</c:v>
                </c:pt>
                <c:pt idx="29">
                  <c:v>March</c:v>
                </c:pt>
                <c:pt idx="30">
                  <c:v>April</c:v>
                </c:pt>
                <c:pt idx="31">
                  <c:v>May</c:v>
                </c:pt>
                <c:pt idx="32">
                  <c:v>June</c:v>
                </c:pt>
                <c:pt idx="33">
                  <c:v>July </c:v>
                </c:pt>
                <c:pt idx="34">
                  <c:v>August</c:v>
                </c:pt>
                <c:pt idx="35">
                  <c:v>September</c:v>
                </c:pt>
                <c:pt idx="36">
                  <c:v>October</c:v>
                </c:pt>
                <c:pt idx="37">
                  <c:v>November</c:v>
                </c:pt>
                <c:pt idx="38">
                  <c:v>December</c:v>
                </c:pt>
                <c:pt idx="39">
                  <c:v>January</c:v>
                </c:pt>
                <c:pt idx="40">
                  <c:v>February</c:v>
                </c:pt>
                <c:pt idx="41">
                  <c:v>March</c:v>
                </c:pt>
                <c:pt idx="42">
                  <c:v>April</c:v>
                </c:pt>
                <c:pt idx="43">
                  <c:v>May</c:v>
                </c:pt>
                <c:pt idx="44">
                  <c:v>June</c:v>
                </c:pt>
                <c:pt idx="45">
                  <c:v>July </c:v>
                </c:pt>
                <c:pt idx="46">
                  <c:v>August</c:v>
                </c:pt>
              </c:strCache>
            </c:strRef>
          </c:cat>
          <c:val>
            <c:numRef>
              <c:f>'Valley Cares Data'!$D$5:$D$51</c:f>
              <c:numCache>
                <c:formatCode>_(* #,##0.00_);_(* \(#,##0.00\);_(* "-"??_);_(@_)</c:formatCode>
                <c:ptCount val="47"/>
                <c:pt idx="0">
                  <c:v>9280</c:v>
                </c:pt>
                <c:pt idx="1">
                  <c:v>10080</c:v>
                </c:pt>
                <c:pt idx="2">
                  <c:v>6480</c:v>
                </c:pt>
                <c:pt idx="3">
                  <c:v>3440</c:v>
                </c:pt>
                <c:pt idx="4">
                  <c:v>8560</c:v>
                </c:pt>
                <c:pt idx="5">
                  <c:v>9280</c:v>
                </c:pt>
                <c:pt idx="6">
                  <c:v>15680</c:v>
                </c:pt>
                <c:pt idx="7">
                  <c:v>17920</c:v>
                </c:pt>
                <c:pt idx="8">
                  <c:v>15280</c:v>
                </c:pt>
                <c:pt idx="9">
                  <c:v>19200</c:v>
                </c:pt>
                <c:pt idx="10">
                  <c:v>15360</c:v>
                </c:pt>
                <c:pt idx="11">
                  <c:v>13200</c:v>
                </c:pt>
                <c:pt idx="12">
                  <c:v>12800</c:v>
                </c:pt>
                <c:pt idx="13">
                  <c:v>9760</c:v>
                </c:pt>
                <c:pt idx="14">
                  <c:v>5280</c:v>
                </c:pt>
                <c:pt idx="15">
                  <c:v>4960</c:v>
                </c:pt>
                <c:pt idx="16">
                  <c:v>9280</c:v>
                </c:pt>
                <c:pt idx="17">
                  <c:v>8640</c:v>
                </c:pt>
                <c:pt idx="18">
                  <c:v>16560</c:v>
                </c:pt>
                <c:pt idx="19">
                  <c:v>12800</c:v>
                </c:pt>
                <c:pt idx="20">
                  <c:v>18000</c:v>
                </c:pt>
                <c:pt idx="21">
                  <c:v>14320</c:v>
                </c:pt>
                <c:pt idx="22">
                  <c:v>17680</c:v>
                </c:pt>
                <c:pt idx="23">
                  <c:v>15600</c:v>
                </c:pt>
                <c:pt idx="24">
                  <c:v>10960</c:v>
                </c:pt>
                <c:pt idx="25">
                  <c:v>9200</c:v>
                </c:pt>
                <c:pt idx="26">
                  <c:v>4960</c:v>
                </c:pt>
                <c:pt idx="27">
                  <c:v>2400</c:v>
                </c:pt>
                <c:pt idx="28">
                  <c:v>8000</c:v>
                </c:pt>
                <c:pt idx="29">
                  <c:v>13200</c:v>
                </c:pt>
                <c:pt idx="30">
                  <c:v>14720</c:v>
                </c:pt>
                <c:pt idx="31">
                  <c:v>18240</c:v>
                </c:pt>
                <c:pt idx="32">
                  <c:v>16720</c:v>
                </c:pt>
                <c:pt idx="33">
                  <c:v>19920</c:v>
                </c:pt>
                <c:pt idx="34">
                  <c:v>16480</c:v>
                </c:pt>
                <c:pt idx="35">
                  <c:v>18880</c:v>
                </c:pt>
                <c:pt idx="36">
                  <c:v>15280</c:v>
                </c:pt>
                <c:pt idx="37">
                  <c:v>10080</c:v>
                </c:pt>
                <c:pt idx="38">
                  <c:v>3600</c:v>
                </c:pt>
                <c:pt idx="39">
                  <c:v>5040</c:v>
                </c:pt>
                <c:pt idx="40">
                  <c:v>2720</c:v>
                </c:pt>
                <c:pt idx="41">
                  <c:v>10000</c:v>
                </c:pt>
                <c:pt idx="42">
                  <c:v>13280</c:v>
                </c:pt>
                <c:pt idx="43">
                  <c:v>13280</c:v>
                </c:pt>
                <c:pt idx="44">
                  <c:v>18960</c:v>
                </c:pt>
                <c:pt idx="45">
                  <c:v>19040</c:v>
                </c:pt>
                <c:pt idx="46">
                  <c:v>20640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E8-F840-97B0-BEABD23F6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5479152"/>
        <c:axId val="1905584528"/>
      </c:lineChart>
      <c:catAx>
        <c:axId val="190547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584528"/>
        <c:crosses val="autoZero"/>
        <c:auto val="1"/>
        <c:lblAlgn val="ctr"/>
        <c:lblOffset val="100"/>
        <c:noMultiLvlLbl val="0"/>
      </c:catAx>
      <c:valAx>
        <c:axId val="190558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47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241300</xdr:colOff>
      <xdr:row>2</xdr:row>
      <xdr:rowOff>12700</xdr:rowOff>
    </xdr:from>
    <xdr:to>
      <xdr:col>19</xdr:col>
      <xdr:colOff>50800</xdr:colOff>
      <xdr:row>44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DF8C3D-EFC1-E640-8C46-1087C8706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workbookViewId="0">
      <pane ySplit="4" topLeftCell="A5" activePane="bottomLeft" state="frozen"/>
      <selection pane="bottomLeft" activeCell="D14" sqref="D14"/>
    </sheetView>
  </sheetViews>
  <sheetFormatPr baseColWidth="10" defaultColWidth="8.83203125" defaultRowHeight="15" x14ac:dyDescent="0.2"/>
  <cols>
    <col min="1" max="1" width="14.83203125" style="1" customWidth="1"/>
    <col min="2" max="2" width="15" customWidth="1"/>
    <col min="3" max="3" width="15.6640625" style="1" bestFit="1" customWidth="1"/>
    <col min="4" max="4" width="14.33203125" style="1" bestFit="1" customWidth="1"/>
    <col min="5" max="5" width="13" customWidth="1"/>
    <col min="6" max="6" width="11.6640625" customWidth="1"/>
    <col min="7" max="7" width="10.5" customWidth="1"/>
    <col min="9" max="10" width="10.5" bestFit="1" customWidth="1"/>
    <col min="11" max="11" width="9.33203125" bestFit="1" customWidth="1"/>
    <col min="14" max="14" width="9.1640625" customWidth="1"/>
    <col min="16" max="16" width="9.5" bestFit="1" customWidth="1"/>
    <col min="18" max="18" width="11" bestFit="1" customWidth="1"/>
    <col min="20" max="20" width="14.83203125" customWidth="1"/>
  </cols>
  <sheetData>
    <row r="1" spans="1:20" ht="80" x14ac:dyDescent="0.2">
      <c r="A1" s="1" t="s">
        <v>27</v>
      </c>
      <c r="B1" t="s">
        <v>28</v>
      </c>
      <c r="C1" s="1" t="s">
        <v>29</v>
      </c>
      <c r="D1" s="1" t="s">
        <v>30</v>
      </c>
      <c r="E1" s="7" t="s">
        <v>33</v>
      </c>
      <c r="G1" s="6" t="s">
        <v>32</v>
      </c>
      <c r="J1" s="8" t="s">
        <v>34</v>
      </c>
      <c r="K1" s="11" t="s">
        <v>35</v>
      </c>
    </row>
    <row r="2" spans="1:20" ht="26" customHeight="1" x14ac:dyDescent="0.2">
      <c r="A2" s="12" t="s">
        <v>0</v>
      </c>
      <c r="B2" s="13" t="s">
        <v>31</v>
      </c>
      <c r="C2" s="14">
        <v>77826000000</v>
      </c>
      <c r="D2" s="14" t="s">
        <v>1</v>
      </c>
      <c r="E2" s="9">
        <v>0.1275</v>
      </c>
      <c r="G2" s="10">
        <v>0.9</v>
      </c>
      <c r="S2" s="1"/>
      <c r="T2" s="1"/>
    </row>
    <row r="3" spans="1:20" x14ac:dyDescent="0.2">
      <c r="A3"/>
      <c r="E3" s="2"/>
      <c r="S3" s="1"/>
      <c r="T3" s="1"/>
    </row>
    <row r="4" spans="1:20" x14ac:dyDescent="0.2">
      <c r="A4" t="s">
        <v>2</v>
      </c>
      <c r="B4" t="s">
        <v>3</v>
      </c>
      <c r="C4" s="1" t="s">
        <v>4</v>
      </c>
      <c r="D4" s="1" t="s">
        <v>5</v>
      </c>
      <c r="E4" s="2" t="s">
        <v>6</v>
      </c>
      <c r="F4" s="1" t="s">
        <v>9</v>
      </c>
      <c r="G4" s="1" t="s">
        <v>10</v>
      </c>
      <c r="I4" s="1" t="s">
        <v>11</v>
      </c>
      <c r="J4" s="1" t="s">
        <v>12</v>
      </c>
      <c r="K4" s="1" t="s">
        <v>13</v>
      </c>
      <c r="L4" s="1"/>
      <c r="M4" s="1"/>
      <c r="R4" s="2"/>
      <c r="S4" s="1"/>
      <c r="T4" s="1"/>
    </row>
    <row r="5" spans="1:20" x14ac:dyDescent="0.2">
      <c r="A5" t="s">
        <v>7</v>
      </c>
      <c r="B5" s="16">
        <v>43177</v>
      </c>
      <c r="C5" s="17">
        <v>43208</v>
      </c>
      <c r="D5" s="15">
        <v>54800</v>
      </c>
      <c r="E5" s="4">
        <f t="shared" ref="E5:E21" si="0">ROUND(D5*$E$2,0)</f>
        <v>6987</v>
      </c>
      <c r="F5" s="3">
        <v>0.15417</v>
      </c>
      <c r="G5" s="3">
        <v>0.04</v>
      </c>
      <c r="I5" s="5">
        <f t="shared" ref="I5:I13" si="1">E5*(F5+G5)</f>
        <v>1356.66579</v>
      </c>
      <c r="J5" s="5">
        <f>I5*G$2</f>
        <v>1220.9992110000001</v>
      </c>
      <c r="K5" s="5">
        <f t="shared" ref="K5:K13" si="2">I5-J5</f>
        <v>135.66657899999996</v>
      </c>
      <c r="R5" s="2"/>
      <c r="S5" s="1"/>
      <c r="T5" s="1"/>
    </row>
    <row r="6" spans="1:20" x14ac:dyDescent="0.2">
      <c r="A6" t="s">
        <v>14</v>
      </c>
      <c r="B6" s="16">
        <v>43208</v>
      </c>
      <c r="C6" s="17">
        <v>43238</v>
      </c>
      <c r="D6" s="15">
        <v>62000</v>
      </c>
      <c r="E6" s="4">
        <f t="shared" si="0"/>
        <v>7905</v>
      </c>
      <c r="F6" s="3">
        <v>0.15417</v>
      </c>
      <c r="G6" s="3">
        <v>0.04</v>
      </c>
      <c r="I6" s="5">
        <f t="shared" si="1"/>
        <v>1534.9138500000001</v>
      </c>
      <c r="J6" s="5">
        <f t="shared" ref="J6:J21" si="3">I6*G$2</f>
        <v>1381.4224650000001</v>
      </c>
      <c r="K6" s="5">
        <f t="shared" si="2"/>
        <v>153.49138500000004</v>
      </c>
      <c r="R6" s="2"/>
      <c r="S6" s="1"/>
      <c r="T6" s="1"/>
    </row>
    <row r="7" spans="1:20" x14ac:dyDescent="0.2">
      <c r="A7" t="s">
        <v>15</v>
      </c>
      <c r="B7" s="16">
        <v>43238</v>
      </c>
      <c r="C7" s="17">
        <v>43270</v>
      </c>
      <c r="D7" s="15">
        <v>74560</v>
      </c>
      <c r="E7" s="4">
        <f t="shared" si="0"/>
        <v>9506</v>
      </c>
      <c r="F7" s="3">
        <v>0.15417</v>
      </c>
      <c r="G7" s="3">
        <v>0.04</v>
      </c>
      <c r="I7" s="5">
        <f t="shared" si="1"/>
        <v>1845.7800200000001</v>
      </c>
      <c r="J7" s="5">
        <f t="shared" si="3"/>
        <v>1661.2020180000002</v>
      </c>
      <c r="K7" s="5">
        <f t="shared" si="2"/>
        <v>184.57800199999997</v>
      </c>
      <c r="R7" s="2"/>
      <c r="S7" s="1"/>
      <c r="T7" s="1"/>
    </row>
    <row r="8" spans="1:20" x14ac:dyDescent="0.2">
      <c r="A8" s="1" t="s">
        <v>16</v>
      </c>
      <c r="B8" s="16">
        <v>43270</v>
      </c>
      <c r="C8" s="18" t="s">
        <v>17</v>
      </c>
      <c r="D8" s="15">
        <v>74080</v>
      </c>
      <c r="E8" s="4">
        <f t="shared" si="0"/>
        <v>9445</v>
      </c>
      <c r="F8" s="3">
        <v>0.15417</v>
      </c>
      <c r="G8" s="3">
        <v>0.04</v>
      </c>
      <c r="I8" s="5">
        <f t="shared" si="1"/>
        <v>1833.9356500000001</v>
      </c>
      <c r="J8" s="5">
        <f t="shared" si="3"/>
        <v>1650.542085</v>
      </c>
      <c r="K8" s="5">
        <f t="shared" si="2"/>
        <v>183.39356500000008</v>
      </c>
    </row>
    <row r="9" spans="1:20" x14ac:dyDescent="0.2">
      <c r="A9" s="1" t="s">
        <v>18</v>
      </c>
      <c r="B9" s="19" t="str">
        <f t="shared" ref="B9:B17" si="4">C8</f>
        <v>7/20/2018</v>
      </c>
      <c r="C9" s="17">
        <v>43332</v>
      </c>
      <c r="D9" s="15">
        <v>59680</v>
      </c>
      <c r="E9" s="4">
        <f t="shared" si="0"/>
        <v>7609</v>
      </c>
      <c r="F9" s="3">
        <v>0.15417</v>
      </c>
      <c r="G9" s="3">
        <v>0.04</v>
      </c>
      <c r="I9" s="5">
        <f t="shared" si="1"/>
        <v>1477.4395300000001</v>
      </c>
      <c r="J9" s="5">
        <f t="shared" si="3"/>
        <v>1329.6955770000002</v>
      </c>
      <c r="K9" s="5">
        <f t="shared" si="2"/>
        <v>147.74395299999992</v>
      </c>
    </row>
    <row r="10" spans="1:20" x14ac:dyDescent="0.2">
      <c r="A10" s="1" t="s">
        <v>19</v>
      </c>
      <c r="B10" s="16">
        <f t="shared" si="4"/>
        <v>43332</v>
      </c>
      <c r="C10" s="17">
        <v>43362</v>
      </c>
      <c r="D10" s="15">
        <v>54880</v>
      </c>
      <c r="E10" s="4">
        <f t="shared" si="0"/>
        <v>6997</v>
      </c>
      <c r="F10" s="3">
        <v>0.15417</v>
      </c>
      <c r="G10" s="3">
        <v>0.04</v>
      </c>
      <c r="I10" s="5">
        <f t="shared" si="1"/>
        <v>1358.6074900000001</v>
      </c>
      <c r="J10" s="5">
        <f t="shared" si="3"/>
        <v>1222.7467410000002</v>
      </c>
      <c r="K10" s="5">
        <f t="shared" si="2"/>
        <v>135.86074899999994</v>
      </c>
    </row>
    <row r="11" spans="1:20" x14ac:dyDescent="0.2">
      <c r="A11" s="1" t="s">
        <v>20</v>
      </c>
      <c r="B11" s="16">
        <f t="shared" si="4"/>
        <v>43362</v>
      </c>
      <c r="C11" s="17">
        <v>43391</v>
      </c>
      <c r="D11" s="15">
        <v>30800</v>
      </c>
      <c r="E11" s="4">
        <f t="shared" si="0"/>
        <v>3927</v>
      </c>
      <c r="F11" s="3">
        <v>0.15417</v>
      </c>
      <c r="G11" s="3">
        <v>0.04</v>
      </c>
      <c r="I11" s="5">
        <f t="shared" si="1"/>
        <v>762.50558999999998</v>
      </c>
      <c r="J11" s="5">
        <f t="shared" si="3"/>
        <v>686.25503100000003</v>
      </c>
      <c r="K11" s="5">
        <f t="shared" si="2"/>
        <v>76.250558999999953</v>
      </c>
    </row>
    <row r="12" spans="1:20" x14ac:dyDescent="0.2">
      <c r="A12" s="1" t="s">
        <v>21</v>
      </c>
      <c r="B12" s="16">
        <f t="shared" si="4"/>
        <v>43391</v>
      </c>
      <c r="C12" s="17">
        <f>B12+32</f>
        <v>43423</v>
      </c>
      <c r="D12" s="15">
        <v>21600</v>
      </c>
      <c r="E12" s="4">
        <f t="shared" si="0"/>
        <v>2754</v>
      </c>
      <c r="F12" s="3">
        <v>0.15417</v>
      </c>
      <c r="G12" s="3">
        <v>0.04</v>
      </c>
      <c r="I12" s="5">
        <f t="shared" si="1"/>
        <v>534.74418000000003</v>
      </c>
      <c r="J12" s="5">
        <f t="shared" si="3"/>
        <v>481.26976200000001</v>
      </c>
      <c r="K12" s="5">
        <f t="shared" si="2"/>
        <v>53.474418000000014</v>
      </c>
    </row>
    <row r="13" spans="1:20" x14ac:dyDescent="0.2">
      <c r="A13" s="1" t="s">
        <v>22</v>
      </c>
      <c r="B13" s="16">
        <f t="shared" si="4"/>
        <v>43423</v>
      </c>
      <c r="C13" s="17">
        <f>B13+29</f>
        <v>43452</v>
      </c>
      <c r="D13" s="15">
        <v>12720</v>
      </c>
      <c r="E13" s="4">
        <f t="shared" si="0"/>
        <v>1622</v>
      </c>
      <c r="F13" s="3">
        <v>0.15417</v>
      </c>
      <c r="G13" s="3">
        <v>0.04</v>
      </c>
      <c r="I13" s="5">
        <f t="shared" si="1"/>
        <v>314.94373999999999</v>
      </c>
      <c r="J13" s="5">
        <f t="shared" si="3"/>
        <v>283.449366</v>
      </c>
      <c r="K13" s="5">
        <f t="shared" si="2"/>
        <v>31.494373999999993</v>
      </c>
    </row>
    <row r="14" spans="1:20" x14ac:dyDescent="0.2">
      <c r="A14" s="1" t="s">
        <v>23</v>
      </c>
      <c r="B14" s="16">
        <f t="shared" si="4"/>
        <v>43452</v>
      </c>
      <c r="C14" s="17">
        <v>43482</v>
      </c>
      <c r="D14" s="15">
        <v>15440</v>
      </c>
      <c r="E14" s="4">
        <f t="shared" si="0"/>
        <v>1969</v>
      </c>
      <c r="F14" s="3">
        <v>0.15417</v>
      </c>
      <c r="G14" s="3">
        <v>0.04</v>
      </c>
      <c r="I14" s="5">
        <f t="shared" ref="I14:I16" si="5">E14*(F14+G14)</f>
        <v>382.32073000000003</v>
      </c>
      <c r="J14" s="5">
        <f t="shared" si="3"/>
        <v>344.08865700000001</v>
      </c>
      <c r="K14" s="5">
        <f t="shared" ref="K14:K16" si="6">I14-J14</f>
        <v>38.232073000000014</v>
      </c>
    </row>
    <row r="15" spans="1:20" x14ac:dyDescent="0.2">
      <c r="A15" s="1" t="s">
        <v>24</v>
      </c>
      <c r="B15" s="16">
        <f t="shared" si="4"/>
        <v>43482</v>
      </c>
      <c r="C15" s="17">
        <v>43514</v>
      </c>
      <c r="D15" s="15">
        <v>16720</v>
      </c>
      <c r="E15" s="4">
        <f t="shared" si="0"/>
        <v>2132</v>
      </c>
      <c r="F15" s="3">
        <v>0.15417</v>
      </c>
      <c r="G15" s="3">
        <v>0.04</v>
      </c>
      <c r="I15" s="5">
        <f t="shared" si="5"/>
        <v>413.97044</v>
      </c>
      <c r="J15" s="5">
        <f t="shared" si="3"/>
        <v>372.573396</v>
      </c>
      <c r="K15" s="5">
        <f t="shared" si="6"/>
        <v>41.397043999999994</v>
      </c>
    </row>
    <row r="16" spans="1:20" x14ac:dyDescent="0.2">
      <c r="A16" s="1" t="s">
        <v>8</v>
      </c>
      <c r="B16" s="16">
        <f t="shared" si="4"/>
        <v>43514</v>
      </c>
      <c r="C16" s="17">
        <v>43543</v>
      </c>
      <c r="D16" s="15">
        <v>35040</v>
      </c>
      <c r="E16" s="4">
        <f t="shared" si="0"/>
        <v>4468</v>
      </c>
      <c r="F16" s="3">
        <v>0.15417</v>
      </c>
      <c r="G16" s="3">
        <v>0.04</v>
      </c>
      <c r="I16" s="5">
        <f t="shared" si="5"/>
        <v>867.55155999999999</v>
      </c>
      <c r="J16" s="5">
        <f t="shared" si="3"/>
        <v>780.79640400000005</v>
      </c>
      <c r="K16" s="5">
        <f t="shared" si="6"/>
        <v>86.755155999999943</v>
      </c>
    </row>
    <row r="17" spans="1:11" x14ac:dyDescent="0.2">
      <c r="A17" s="1" t="s">
        <v>7</v>
      </c>
      <c r="B17" s="16">
        <f t="shared" si="4"/>
        <v>43543</v>
      </c>
      <c r="C17" s="17">
        <f>B18</f>
        <v>43573</v>
      </c>
      <c r="D17" s="15">
        <v>50640</v>
      </c>
      <c r="E17" s="4">
        <f t="shared" si="0"/>
        <v>6457</v>
      </c>
      <c r="F17" s="3">
        <v>0.15417</v>
      </c>
      <c r="G17" s="3">
        <v>0.04</v>
      </c>
      <c r="I17" s="5">
        <f t="shared" ref="I17:I18" si="7">E17*(F17+G17)</f>
        <v>1253.75569</v>
      </c>
      <c r="J17" s="5">
        <f t="shared" si="3"/>
        <v>1128.3801209999999</v>
      </c>
      <c r="K17" s="5">
        <f t="shared" ref="K17:K18" si="8">I17-J17</f>
        <v>125.37556900000004</v>
      </c>
    </row>
    <row r="18" spans="1:11" x14ac:dyDescent="0.2">
      <c r="A18" s="1" t="s">
        <v>14</v>
      </c>
      <c r="B18" s="16">
        <v>43573</v>
      </c>
      <c r="C18" s="17">
        <v>43602</v>
      </c>
      <c r="D18" s="15">
        <v>44000</v>
      </c>
      <c r="E18" s="4">
        <f t="shared" si="0"/>
        <v>5610</v>
      </c>
      <c r="F18" s="3">
        <v>0.15417</v>
      </c>
      <c r="G18" s="3">
        <v>0.04</v>
      </c>
      <c r="I18" s="5">
        <f t="shared" si="7"/>
        <v>1089.2936999999999</v>
      </c>
      <c r="J18" s="5">
        <f t="shared" si="3"/>
        <v>980.36433</v>
      </c>
      <c r="K18" s="5">
        <f t="shared" si="8"/>
        <v>108.92936999999995</v>
      </c>
    </row>
    <row r="19" spans="1:11" x14ac:dyDescent="0.2">
      <c r="A19" s="1" t="s">
        <v>15</v>
      </c>
      <c r="B19" s="16">
        <f>C18</f>
        <v>43602</v>
      </c>
      <c r="C19" s="17">
        <v>43634</v>
      </c>
      <c r="D19" s="15">
        <v>68320</v>
      </c>
      <c r="E19" s="4">
        <f t="shared" si="0"/>
        <v>8711</v>
      </c>
      <c r="F19" s="3">
        <v>0.15417</v>
      </c>
      <c r="G19" s="3">
        <v>0.04</v>
      </c>
      <c r="I19" s="5">
        <f t="shared" ref="I19" si="9">E19*(F19+G19)</f>
        <v>1691.4148700000001</v>
      </c>
      <c r="J19" s="5">
        <f t="shared" si="3"/>
        <v>1522.2733830000002</v>
      </c>
      <c r="K19" s="5">
        <f t="shared" ref="K19" si="10">I19-J19</f>
        <v>169.14148699999987</v>
      </c>
    </row>
    <row r="20" spans="1:11" x14ac:dyDescent="0.2">
      <c r="A20" s="1" t="s">
        <v>25</v>
      </c>
      <c r="B20" s="16">
        <f>C19</f>
        <v>43634</v>
      </c>
      <c r="C20" s="17">
        <v>43664</v>
      </c>
      <c r="D20" s="15">
        <v>71280</v>
      </c>
      <c r="E20" s="4">
        <f t="shared" si="0"/>
        <v>9088</v>
      </c>
      <c r="F20" s="3">
        <v>0.15417</v>
      </c>
      <c r="G20" s="3">
        <v>0.04</v>
      </c>
      <c r="I20" s="5">
        <f t="shared" ref="I20:I21" si="11">E20*(F20+G20)</f>
        <v>1764.6169600000001</v>
      </c>
      <c r="J20" s="5">
        <f t="shared" si="3"/>
        <v>1588.155264</v>
      </c>
      <c r="K20" s="5">
        <f t="shared" ref="K20:K21" si="12">I20-J20</f>
        <v>176.46169600000007</v>
      </c>
    </row>
    <row r="21" spans="1:11" x14ac:dyDescent="0.2">
      <c r="A21" s="1" t="s">
        <v>26</v>
      </c>
      <c r="B21" s="16">
        <f>C20</f>
        <v>43664</v>
      </c>
      <c r="C21" s="17">
        <v>43696</v>
      </c>
      <c r="D21" s="15">
        <v>76320</v>
      </c>
      <c r="E21" s="4">
        <f t="shared" si="0"/>
        <v>9731</v>
      </c>
      <c r="F21" s="3">
        <v>0.15417</v>
      </c>
      <c r="G21" s="3">
        <v>0.04</v>
      </c>
      <c r="I21" s="5">
        <f t="shared" si="11"/>
        <v>1889.4682700000001</v>
      </c>
      <c r="J21" s="5">
        <f t="shared" si="3"/>
        <v>1700.5214430000001</v>
      </c>
      <c r="K21" s="5">
        <f t="shared" si="12"/>
        <v>188.94682699999998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A3167-C149-49A9-A9EB-40B9A25E6481}">
  <sheetPr>
    <pageSetUpPr fitToPage="1"/>
  </sheetPr>
  <dimension ref="A1:AI62"/>
  <sheetViews>
    <sheetView tabSelected="1" topLeftCell="B1" zoomScale="111" zoomScaleNormal="130" workbookViewId="0">
      <pane ySplit="4" topLeftCell="A44" activePane="bottomLeft" state="frozen"/>
      <selection activeCell="D1" sqref="D1"/>
      <selection pane="bottomLeft" activeCell="K62" sqref="K62"/>
    </sheetView>
  </sheetViews>
  <sheetFormatPr baseColWidth="10" defaultColWidth="8.83203125" defaultRowHeight="15" x14ac:dyDescent="0.2"/>
  <cols>
    <col min="1" max="1" width="14.83203125" style="1" customWidth="1"/>
    <col min="2" max="2" width="15" customWidth="1"/>
    <col min="3" max="3" width="15.6640625" style="1" bestFit="1" customWidth="1"/>
    <col min="4" max="4" width="17.6640625" style="1" customWidth="1"/>
    <col min="5" max="5" width="13" customWidth="1"/>
    <col min="6" max="6" width="11.6640625" customWidth="1"/>
    <col min="7" max="7" width="10.5" customWidth="1"/>
    <col min="9" max="10" width="10.5" bestFit="1" customWidth="1"/>
    <col min="11" max="11" width="9.33203125" bestFit="1" customWidth="1"/>
    <col min="13" max="13" width="3.33203125" customWidth="1"/>
    <col min="14" max="14" width="10.1640625" bestFit="1" customWidth="1"/>
    <col min="15" max="15" width="10.5" customWidth="1"/>
    <col min="16" max="16" width="11.83203125" customWidth="1"/>
    <col min="17" max="17" width="11" bestFit="1" customWidth="1"/>
    <col min="19" max="19" width="14.83203125" customWidth="1"/>
    <col min="21" max="21" width="11.1640625" bestFit="1" customWidth="1"/>
    <col min="22" max="22" width="10.1640625" bestFit="1" customWidth="1"/>
    <col min="23" max="23" width="10.6640625" bestFit="1" customWidth="1"/>
    <col min="24" max="25" width="9.1640625" bestFit="1" customWidth="1"/>
    <col min="26" max="26" width="9" bestFit="1" customWidth="1"/>
  </cols>
  <sheetData>
    <row r="1" spans="1:27" ht="82" x14ac:dyDescent="0.3">
      <c r="A1" s="1" t="s">
        <v>27</v>
      </c>
      <c r="B1" t="s">
        <v>28</v>
      </c>
      <c r="C1" s="1" t="s">
        <v>29</v>
      </c>
      <c r="D1" s="1" t="s">
        <v>30</v>
      </c>
      <c r="E1" s="7" t="s">
        <v>33</v>
      </c>
      <c r="G1" s="6" t="s">
        <v>32</v>
      </c>
      <c r="J1" s="8" t="s">
        <v>34</v>
      </c>
      <c r="K1" s="11" t="s">
        <v>35</v>
      </c>
      <c r="N1" s="113" t="s">
        <v>121</v>
      </c>
    </row>
    <row r="2" spans="1:27" ht="26" customHeight="1" x14ac:dyDescent="0.2">
      <c r="A2" s="12" t="s">
        <v>60</v>
      </c>
      <c r="B2" s="13" t="s">
        <v>36</v>
      </c>
      <c r="C2" s="14" t="s">
        <v>36</v>
      </c>
      <c r="D2" s="12" t="s">
        <v>99</v>
      </c>
      <c r="E2" s="9">
        <v>1</v>
      </c>
      <c r="G2" s="10">
        <v>0.9</v>
      </c>
      <c r="R2" s="1"/>
      <c r="S2" s="1"/>
    </row>
    <row r="3" spans="1:27" x14ac:dyDescent="0.2">
      <c r="A3"/>
      <c r="D3" s="1" t="s">
        <v>70</v>
      </c>
      <c r="E3" s="91">
        <v>0.95</v>
      </c>
      <c r="J3" t="s">
        <v>49</v>
      </c>
      <c r="L3" t="s">
        <v>50</v>
      </c>
      <c r="N3" t="s">
        <v>65</v>
      </c>
      <c r="R3" s="1"/>
      <c r="S3" s="1"/>
    </row>
    <row r="4" spans="1:27" x14ac:dyDescent="0.2">
      <c r="A4" t="s">
        <v>2</v>
      </c>
      <c r="B4" s="86" t="s">
        <v>3</v>
      </c>
      <c r="C4" s="76" t="s">
        <v>4</v>
      </c>
      <c r="D4" s="1" t="s">
        <v>5</v>
      </c>
      <c r="E4" s="2" t="s">
        <v>61</v>
      </c>
      <c r="F4" s="1" t="s">
        <v>9</v>
      </c>
      <c r="G4" s="1" t="s">
        <v>10</v>
      </c>
      <c r="I4" s="1" t="s">
        <v>11</v>
      </c>
      <c r="J4" s="1" t="s">
        <v>12</v>
      </c>
      <c r="K4" s="1" t="s">
        <v>13</v>
      </c>
      <c r="L4" s="1"/>
      <c r="N4" t="s">
        <v>66</v>
      </c>
      <c r="O4" t="s">
        <v>12</v>
      </c>
      <c r="P4" t="s">
        <v>13</v>
      </c>
      <c r="Q4" s="2" t="s">
        <v>50</v>
      </c>
      <c r="R4" s="1" t="s">
        <v>84</v>
      </c>
      <c r="S4" s="1" t="s">
        <v>69</v>
      </c>
    </row>
    <row r="5" spans="1:27" x14ac:dyDescent="0.2">
      <c r="A5" s="1" t="s">
        <v>20</v>
      </c>
      <c r="B5" s="76">
        <v>44463</v>
      </c>
      <c r="C5" s="76">
        <v>44495</v>
      </c>
      <c r="D5" s="87">
        <v>9280</v>
      </c>
      <c r="E5" s="85">
        <f t="shared" ref="E5:E11" si="0">+D5*$E$2</f>
        <v>9280</v>
      </c>
      <c r="F5">
        <v>0.16400000000000001</v>
      </c>
      <c r="G5">
        <v>0.02</v>
      </c>
      <c r="I5" s="5">
        <f t="shared" ref="I5:I10" si="1">E5*(F5+G5)</f>
        <v>1707.52</v>
      </c>
      <c r="J5" s="5">
        <f t="shared" ref="J5:J6" si="2">I5*G$2</f>
        <v>1536.768</v>
      </c>
      <c r="K5" s="5">
        <f t="shared" ref="K5:K6" si="3">I5-J5</f>
        <v>170.75199999999995</v>
      </c>
      <c r="L5">
        <v>2202</v>
      </c>
      <c r="Q5" s="2"/>
      <c r="R5" s="1"/>
      <c r="S5" s="86">
        <v>44549</v>
      </c>
    </row>
    <row r="6" spans="1:27" x14ac:dyDescent="0.2">
      <c r="A6" s="1" t="s">
        <v>21</v>
      </c>
      <c r="B6" s="76">
        <v>44495</v>
      </c>
      <c r="C6" s="84">
        <v>44523</v>
      </c>
      <c r="D6" s="85">
        <v>10080</v>
      </c>
      <c r="E6" s="85">
        <f t="shared" si="0"/>
        <v>10080</v>
      </c>
      <c r="F6">
        <v>0.16400000000000001</v>
      </c>
      <c r="G6">
        <v>0.02</v>
      </c>
      <c r="I6" s="5">
        <f t="shared" si="1"/>
        <v>1854.72</v>
      </c>
      <c r="J6" s="5">
        <f t="shared" si="2"/>
        <v>1669.248</v>
      </c>
      <c r="K6" s="5">
        <f t="shared" si="3"/>
        <v>185.47199999999998</v>
      </c>
      <c r="L6">
        <v>2202</v>
      </c>
      <c r="M6" s="75"/>
      <c r="N6" s="90">
        <f>SUM(E$5:E6)</f>
        <v>19360</v>
      </c>
      <c r="O6" s="89">
        <f>SUM(J$5:J6)</f>
        <v>3206.0160000000001</v>
      </c>
      <c r="P6" s="89">
        <f>SUM(K$5:K6)</f>
        <v>356.22399999999993</v>
      </c>
      <c r="Q6" s="85">
        <f>SUM(L$5:L6)</f>
        <v>4404</v>
      </c>
      <c r="R6" t="s">
        <v>93</v>
      </c>
      <c r="S6" s="86">
        <v>44577</v>
      </c>
      <c r="T6" s="5"/>
      <c r="U6" s="5"/>
    </row>
    <row r="7" spans="1:27" x14ac:dyDescent="0.2">
      <c r="A7" s="1" t="s">
        <v>22</v>
      </c>
      <c r="B7" s="76">
        <v>44523</v>
      </c>
      <c r="C7" s="76">
        <v>44552</v>
      </c>
      <c r="D7" s="87">
        <v>6480</v>
      </c>
      <c r="E7" s="85">
        <f t="shared" si="0"/>
        <v>6480</v>
      </c>
      <c r="F7">
        <v>0.16400000000000001</v>
      </c>
      <c r="G7">
        <v>0.02</v>
      </c>
      <c r="I7" s="5">
        <f t="shared" si="1"/>
        <v>1192.32</v>
      </c>
      <c r="J7" s="5">
        <f t="shared" ref="J7" si="4">I7*G$2</f>
        <v>1073.088</v>
      </c>
      <c r="K7" s="5">
        <f t="shared" ref="K7" si="5">I7-J7</f>
        <v>119.23199999999997</v>
      </c>
      <c r="L7">
        <v>2202</v>
      </c>
      <c r="N7" s="90">
        <f>SUM(E$5:E7)</f>
        <v>25840</v>
      </c>
      <c r="O7" s="89">
        <f>SUM(J$5:J7)</f>
        <v>4279.1040000000003</v>
      </c>
      <c r="P7" s="89">
        <f>SUM(K$5:K7)</f>
        <v>475.4559999999999</v>
      </c>
      <c r="Q7" s="85">
        <f>SUM(L$5:L7)</f>
        <v>6606</v>
      </c>
      <c r="R7" t="s">
        <v>94</v>
      </c>
      <c r="S7" s="86">
        <v>44600</v>
      </c>
    </row>
    <row r="8" spans="1:27" x14ac:dyDescent="0.2">
      <c r="A8" s="1" t="s">
        <v>23</v>
      </c>
      <c r="B8" s="76">
        <v>44552</v>
      </c>
      <c r="C8" s="76">
        <v>44585</v>
      </c>
      <c r="D8" s="87">
        <v>3440</v>
      </c>
      <c r="E8" s="85">
        <f t="shared" si="0"/>
        <v>3440</v>
      </c>
      <c r="F8">
        <v>0.16400000000000001</v>
      </c>
      <c r="G8">
        <v>0.02</v>
      </c>
      <c r="I8" s="5">
        <f t="shared" si="1"/>
        <v>632.96</v>
      </c>
      <c r="J8" s="5">
        <f t="shared" ref="J8" si="6">I8*G$2</f>
        <v>569.6640000000001</v>
      </c>
      <c r="K8" s="5">
        <f t="shared" ref="K8" si="7">I8-J8</f>
        <v>63.295999999999935</v>
      </c>
      <c r="L8">
        <v>2202</v>
      </c>
      <c r="N8" s="90">
        <f>SUM(E$5:E8)</f>
        <v>29280</v>
      </c>
      <c r="O8" s="89">
        <f>SUM(J$5:J8)</f>
        <v>4848.768</v>
      </c>
      <c r="P8" s="89">
        <f>SUM(K$5:K8)</f>
        <v>538.75199999999984</v>
      </c>
      <c r="Q8" s="85">
        <f>SUM(L$5:L8)</f>
        <v>8808</v>
      </c>
      <c r="R8" t="s">
        <v>92</v>
      </c>
      <c r="S8" s="86">
        <v>44641</v>
      </c>
      <c r="V8">
        <v>2022</v>
      </c>
    </row>
    <row r="9" spans="1:27" x14ac:dyDescent="0.2">
      <c r="A9" s="1" t="s">
        <v>24</v>
      </c>
      <c r="B9" s="76">
        <v>44585</v>
      </c>
      <c r="C9" s="76">
        <v>44615</v>
      </c>
      <c r="D9" s="87">
        <v>8560</v>
      </c>
      <c r="E9" s="85">
        <f t="shared" si="0"/>
        <v>8560</v>
      </c>
      <c r="F9">
        <v>0.16400000000000001</v>
      </c>
      <c r="G9">
        <v>0.02</v>
      </c>
      <c r="I9" s="5">
        <f t="shared" si="1"/>
        <v>1575.04</v>
      </c>
      <c r="J9" s="5">
        <f t="shared" ref="J9" si="8">I9*G$2</f>
        <v>1417.5360000000001</v>
      </c>
      <c r="K9" s="5">
        <f t="shared" ref="K9" si="9">I9-J9</f>
        <v>157.50399999999991</v>
      </c>
      <c r="L9">
        <v>2202</v>
      </c>
      <c r="N9" s="90">
        <f>SUM(E$5:E9)</f>
        <v>37840</v>
      </c>
      <c r="O9" s="89">
        <f>SUM(J$5:J9)</f>
        <v>6266.3040000000001</v>
      </c>
      <c r="P9" s="89">
        <f>SUM(K$5:K9)</f>
        <v>696.25599999999974</v>
      </c>
      <c r="Q9" s="85">
        <f>SUM(L$5:L9)</f>
        <v>11010</v>
      </c>
      <c r="R9" t="s">
        <v>91</v>
      </c>
      <c r="S9" s="86">
        <v>44669</v>
      </c>
      <c r="U9" s="89">
        <f>+((2200*12)/0.184)/0.9</f>
        <v>159420.28985507245</v>
      </c>
      <c r="V9" t="s">
        <v>78</v>
      </c>
    </row>
    <row r="10" spans="1:27" x14ac:dyDescent="0.2">
      <c r="A10" s="1" t="s">
        <v>8</v>
      </c>
      <c r="B10" s="76">
        <v>44615</v>
      </c>
      <c r="C10" s="76">
        <v>44644</v>
      </c>
      <c r="D10" s="87">
        <v>9280</v>
      </c>
      <c r="E10" s="85">
        <f t="shared" si="0"/>
        <v>9280</v>
      </c>
      <c r="F10">
        <v>0.16400000000000001</v>
      </c>
      <c r="G10">
        <v>0.02</v>
      </c>
      <c r="I10" s="5">
        <f t="shared" si="1"/>
        <v>1707.52</v>
      </c>
      <c r="J10" s="5">
        <f t="shared" ref="J10" si="10">I10*G$2</f>
        <v>1536.768</v>
      </c>
      <c r="K10" s="5">
        <f t="shared" ref="K10" si="11">I10-J10</f>
        <v>170.75199999999995</v>
      </c>
      <c r="L10">
        <v>2202</v>
      </c>
      <c r="N10" s="90">
        <f>SUM(E$5:E10)</f>
        <v>47120</v>
      </c>
      <c r="O10" s="89">
        <f>SUM(J$5:J10)</f>
        <v>7803.0720000000001</v>
      </c>
      <c r="P10" s="89">
        <f>SUM(K$5:K10)</f>
        <v>867.0079999999997</v>
      </c>
      <c r="Q10" s="85">
        <f>SUM(L$5:L10)</f>
        <v>13212</v>
      </c>
      <c r="R10" t="s">
        <v>90</v>
      </c>
      <c r="S10" s="86">
        <v>44704</v>
      </c>
      <c r="U10" s="93">
        <f>+SUM(E5:E16)</f>
        <v>139712</v>
      </c>
      <c r="V10" t="s">
        <v>79</v>
      </c>
    </row>
    <row r="11" spans="1:27" x14ac:dyDescent="0.2">
      <c r="A11" s="1" t="s">
        <v>7</v>
      </c>
      <c r="B11" s="76">
        <v>44644</v>
      </c>
      <c r="C11" s="76">
        <v>44676</v>
      </c>
      <c r="D11" s="87">
        <v>15680</v>
      </c>
      <c r="E11" s="85">
        <f t="shared" si="0"/>
        <v>15680</v>
      </c>
      <c r="F11">
        <v>0.16400000000000001</v>
      </c>
      <c r="G11">
        <v>0.02</v>
      </c>
      <c r="I11" s="5">
        <f t="shared" ref="I11:I16" si="12">E11*(F11+G11)</f>
        <v>2885.12</v>
      </c>
      <c r="J11" s="5">
        <f t="shared" ref="J11" si="13">I11*G$2</f>
        <v>2596.6080000000002</v>
      </c>
      <c r="K11" s="5">
        <f t="shared" ref="K11" si="14">I11-J11</f>
        <v>288.51199999999972</v>
      </c>
      <c r="L11">
        <v>2202</v>
      </c>
      <c r="N11" s="90">
        <f>SUM(E$5:E11)</f>
        <v>62800</v>
      </c>
      <c r="O11" s="89">
        <f>SUM(J$5:J11)</f>
        <v>10399.68</v>
      </c>
      <c r="P11" s="89">
        <f>SUM(K$5:K11)</f>
        <v>1155.5199999999995</v>
      </c>
      <c r="Q11" s="85">
        <f>SUM(L$5:L11)</f>
        <v>15414</v>
      </c>
      <c r="R11" t="s">
        <v>89</v>
      </c>
      <c r="S11" s="86">
        <v>44732</v>
      </c>
      <c r="U11" s="97"/>
    </row>
    <row r="12" spans="1:27" x14ac:dyDescent="0.2">
      <c r="A12" s="1" t="s">
        <v>14</v>
      </c>
      <c r="B12" s="76">
        <v>44676</v>
      </c>
      <c r="C12" s="76">
        <v>44706</v>
      </c>
      <c r="D12" s="87">
        <v>17920</v>
      </c>
      <c r="E12" s="85">
        <f t="shared" ref="E12:E18" si="15">+D12*$E$3</f>
        <v>17024</v>
      </c>
      <c r="F12">
        <v>0.16400000000000001</v>
      </c>
      <c r="G12">
        <v>0.02</v>
      </c>
      <c r="I12" s="5">
        <f t="shared" si="12"/>
        <v>3132.4160000000002</v>
      </c>
      <c r="J12" s="5">
        <f t="shared" ref="J12" si="16">I12*G$2</f>
        <v>2819.1744000000003</v>
      </c>
      <c r="K12" s="5">
        <f t="shared" ref="K12" si="17">I12-J12</f>
        <v>313.24159999999983</v>
      </c>
      <c r="L12">
        <v>2202</v>
      </c>
      <c r="N12" s="90">
        <f>SUM(E$5:E12)</f>
        <v>79824</v>
      </c>
      <c r="O12" s="89">
        <f>SUM(J$5:J12)</f>
        <v>13218.8544</v>
      </c>
      <c r="P12" s="89">
        <f>SUM(K$5:K12)</f>
        <v>1468.7615999999994</v>
      </c>
      <c r="Q12" s="85">
        <f>SUM(L$5:L12)</f>
        <v>17616</v>
      </c>
      <c r="R12" t="s">
        <v>88</v>
      </c>
      <c r="S12" s="86">
        <v>44732</v>
      </c>
    </row>
    <row r="13" spans="1:27" x14ac:dyDescent="0.2">
      <c r="A13" s="1" t="s">
        <v>15</v>
      </c>
      <c r="B13" s="76">
        <v>44706</v>
      </c>
      <c r="C13" s="76">
        <v>44736</v>
      </c>
      <c r="D13" s="87">
        <v>15280</v>
      </c>
      <c r="E13" s="85">
        <f t="shared" si="15"/>
        <v>14516</v>
      </c>
      <c r="F13">
        <v>0.16400000000000001</v>
      </c>
      <c r="G13">
        <v>0.02</v>
      </c>
      <c r="I13" s="5">
        <f t="shared" si="12"/>
        <v>2670.944</v>
      </c>
      <c r="J13" s="5">
        <f t="shared" ref="J13" si="18">I13*G$2</f>
        <v>2403.8496</v>
      </c>
      <c r="K13" s="5">
        <f t="shared" ref="K13" si="19">I13-J13</f>
        <v>267.09439999999995</v>
      </c>
      <c r="L13">
        <v>2202</v>
      </c>
      <c r="N13" s="90">
        <f>SUM(E$5:E13)</f>
        <v>94340</v>
      </c>
      <c r="O13" s="89">
        <f>SUM(J$5:J13)</f>
        <v>15622.704</v>
      </c>
      <c r="P13" s="89">
        <f>SUM(K$5:K13)</f>
        <v>1735.8559999999993</v>
      </c>
      <c r="Q13" s="85">
        <f>SUM(L$5:L13)</f>
        <v>19818</v>
      </c>
      <c r="R13" t="s">
        <v>87</v>
      </c>
      <c r="S13" s="86">
        <v>44769</v>
      </c>
      <c r="U13" s="93">
        <f>+((U10*0.19141)/12)*0.9</f>
        <v>2005.6705440000001</v>
      </c>
      <c r="V13" t="s">
        <v>81</v>
      </c>
    </row>
    <row r="14" spans="1:27" x14ac:dyDescent="0.2">
      <c r="A14" s="1" t="s">
        <v>16</v>
      </c>
      <c r="B14" s="76">
        <v>44736</v>
      </c>
      <c r="C14" s="76">
        <v>44768</v>
      </c>
      <c r="D14" s="88">
        <v>19200</v>
      </c>
      <c r="E14" s="85">
        <f t="shared" si="15"/>
        <v>18240</v>
      </c>
      <c r="F14">
        <v>0.16400000000000001</v>
      </c>
      <c r="G14">
        <v>0.02</v>
      </c>
      <c r="I14" s="5">
        <f t="shared" si="12"/>
        <v>3356.16</v>
      </c>
      <c r="J14" s="5">
        <f t="shared" ref="J14" si="20">I14*G$2</f>
        <v>3020.5439999999999</v>
      </c>
      <c r="K14" s="5">
        <f t="shared" ref="K14" si="21">I14-J14</f>
        <v>335.61599999999999</v>
      </c>
      <c r="L14">
        <v>2202</v>
      </c>
      <c r="N14" s="90">
        <f>SUM(E$5:E14)</f>
        <v>112580</v>
      </c>
      <c r="O14" s="89">
        <f>SUM(J$5:J14)</f>
        <v>18643.248</v>
      </c>
      <c r="P14" s="89">
        <f>SUM(K$5:K14)</f>
        <v>2071.4719999999993</v>
      </c>
      <c r="Q14" s="85">
        <f>SUM(L$5:L14)</f>
        <v>22020</v>
      </c>
      <c r="R14" t="s">
        <v>86</v>
      </c>
      <c r="S14" s="86">
        <v>44784</v>
      </c>
      <c r="X14" s="94" t="s">
        <v>75</v>
      </c>
      <c r="Y14" s="94" t="s">
        <v>76</v>
      </c>
      <c r="Z14" s="94" t="s">
        <v>77</v>
      </c>
    </row>
    <row r="15" spans="1:27" x14ac:dyDescent="0.2">
      <c r="A15" s="1" t="s">
        <v>18</v>
      </c>
      <c r="B15" s="76">
        <v>44768</v>
      </c>
      <c r="C15" s="76">
        <v>44798</v>
      </c>
      <c r="D15" s="88">
        <v>15360</v>
      </c>
      <c r="E15" s="85">
        <f t="shared" si="15"/>
        <v>14592</v>
      </c>
      <c r="F15">
        <v>0.16400000000000001</v>
      </c>
      <c r="G15">
        <v>0.02</v>
      </c>
      <c r="I15" s="5">
        <f t="shared" si="12"/>
        <v>2684.9279999999999</v>
      </c>
      <c r="J15" s="5">
        <f t="shared" ref="J15" si="22">I15*G$2</f>
        <v>2416.4351999999999</v>
      </c>
      <c r="K15" s="5">
        <f t="shared" ref="K15" si="23">I15-J15</f>
        <v>268.49279999999999</v>
      </c>
      <c r="L15">
        <v>2202</v>
      </c>
      <c r="N15" s="90">
        <f>SUM(E$5:E15)</f>
        <v>127172</v>
      </c>
      <c r="O15" s="89">
        <f>SUM(J$5:J15)</f>
        <v>21059.683199999999</v>
      </c>
      <c r="P15" s="89">
        <f>SUM(K$5:K15)</f>
        <v>2339.9647999999993</v>
      </c>
      <c r="Q15" s="85">
        <f>SUM(L$5:L15)</f>
        <v>24222</v>
      </c>
      <c r="R15" t="s">
        <v>71</v>
      </c>
      <c r="S15" s="86">
        <v>44820</v>
      </c>
      <c r="U15" t="s">
        <v>74</v>
      </c>
      <c r="V15" t="s">
        <v>72</v>
      </c>
      <c r="W15" t="s">
        <v>73</v>
      </c>
      <c r="X15" s="95">
        <v>0.68</v>
      </c>
      <c r="Y15" s="95">
        <v>0.28999999999999998</v>
      </c>
      <c r="Z15" s="95">
        <v>0.03</v>
      </c>
    </row>
    <row r="16" spans="1:27" x14ac:dyDescent="0.2">
      <c r="A16" s="100" t="s">
        <v>19</v>
      </c>
      <c r="B16" s="101">
        <v>44798</v>
      </c>
      <c r="C16" s="101">
        <v>44830</v>
      </c>
      <c r="D16" s="102">
        <v>13200</v>
      </c>
      <c r="E16" s="103">
        <f t="shared" si="15"/>
        <v>12540</v>
      </c>
      <c r="F16" s="104">
        <v>0.16400000000000001</v>
      </c>
      <c r="G16" s="104">
        <v>0.02</v>
      </c>
      <c r="H16" s="104"/>
      <c r="I16" s="105">
        <f t="shared" si="12"/>
        <v>2307.36</v>
      </c>
      <c r="J16" s="105">
        <f t="shared" ref="J16" si="24">I16*G$2</f>
        <v>2076.6240000000003</v>
      </c>
      <c r="K16" s="105">
        <f t="shared" ref="K16" si="25">I16-J16</f>
        <v>230.73599999999988</v>
      </c>
      <c r="L16" s="104" t="s">
        <v>96</v>
      </c>
      <c r="M16" s="104"/>
      <c r="N16" s="106">
        <f>SUM(E$5:E16)</f>
        <v>139712</v>
      </c>
      <c r="O16" s="107">
        <f>SUM(J$5:J16)</f>
        <v>23136.307199999999</v>
      </c>
      <c r="P16" s="107">
        <f>SUM(K$5:K16)</f>
        <v>2570.7007999999992</v>
      </c>
      <c r="Q16" s="103">
        <f>SUM(L$5:L16)</f>
        <v>24222</v>
      </c>
      <c r="R16" s="104" t="s">
        <v>85</v>
      </c>
      <c r="S16" s="104" t="s">
        <v>101</v>
      </c>
      <c r="U16" s="92">
        <f>+SUM(J5:J16)</f>
        <v>23136.307199999999</v>
      </c>
      <c r="V16" s="93">
        <f>+Q16</f>
        <v>24222</v>
      </c>
      <c r="W16" s="92">
        <f>+U16-V16</f>
        <v>-1085.6928000000007</v>
      </c>
      <c r="X16" s="96">
        <f>+$W16*X15</f>
        <v>-738.27110400000049</v>
      </c>
      <c r="Y16" s="96">
        <f>+$W16*Y15</f>
        <v>-314.85091200000016</v>
      </c>
      <c r="Z16" s="96">
        <f>+$W16*Z15</f>
        <v>-32.570784000000017</v>
      </c>
      <c r="AA16" t="s">
        <v>82</v>
      </c>
    </row>
    <row r="17" spans="1:35" x14ac:dyDescent="0.2">
      <c r="A17" s="1" t="s">
        <v>20</v>
      </c>
      <c r="B17" s="76">
        <v>44830</v>
      </c>
      <c r="C17" s="76">
        <v>44859</v>
      </c>
      <c r="D17" s="87">
        <v>12800</v>
      </c>
      <c r="E17" s="85">
        <f t="shared" si="15"/>
        <v>12160</v>
      </c>
      <c r="F17">
        <v>0.17141000000000001</v>
      </c>
      <c r="G17">
        <v>0.02</v>
      </c>
      <c r="H17">
        <v>0.19141</v>
      </c>
      <c r="I17" s="5">
        <f t="shared" ref="I17" si="26">E17*(F17+G17)</f>
        <v>2327.5455999999999</v>
      </c>
      <c r="J17" s="5">
        <f t="shared" ref="J17" si="27">I17*G$2</f>
        <v>2094.7910400000001</v>
      </c>
      <c r="K17" s="5">
        <f t="shared" ref="K17" si="28">I17-J17</f>
        <v>232.75455999999986</v>
      </c>
      <c r="L17">
        <v>2000</v>
      </c>
      <c r="N17" s="90">
        <f>SUM(E$5:E17)</f>
        <v>151872</v>
      </c>
      <c r="O17" s="89">
        <f>SUM(J$5:J17)</f>
        <v>25231.098239999999</v>
      </c>
      <c r="P17" s="89">
        <f>SUM(K$5:K17)</f>
        <v>2803.455359999999</v>
      </c>
      <c r="Q17" s="85">
        <f>SUM(L$5:L17)</f>
        <v>26222</v>
      </c>
      <c r="R17" t="s">
        <v>95</v>
      </c>
      <c r="S17" s="86">
        <v>44911</v>
      </c>
    </row>
    <row r="18" spans="1:35" x14ac:dyDescent="0.2">
      <c r="A18" s="1" t="s">
        <v>21</v>
      </c>
      <c r="B18" s="76">
        <v>44859</v>
      </c>
      <c r="C18" s="76">
        <v>44888</v>
      </c>
      <c r="D18" s="87">
        <v>9760</v>
      </c>
      <c r="E18" s="85">
        <f t="shared" si="15"/>
        <v>9272</v>
      </c>
      <c r="F18">
        <v>0.17141000000000001</v>
      </c>
      <c r="G18">
        <v>0.02</v>
      </c>
      <c r="H18">
        <v>0.19141</v>
      </c>
      <c r="I18" s="5">
        <f t="shared" ref="I18" si="29">E18*(F18+G18)</f>
        <v>1774.75352</v>
      </c>
      <c r="J18" s="5">
        <f t="shared" ref="J18" si="30">I18*G$2</f>
        <v>1597.2781680000001</v>
      </c>
      <c r="K18" s="5">
        <f t="shared" ref="K18" si="31">I18-J18</f>
        <v>177.47535199999993</v>
      </c>
      <c r="L18">
        <v>2000</v>
      </c>
      <c r="N18" s="90">
        <f>SUM(E$5:E18)</f>
        <v>161144</v>
      </c>
      <c r="O18" s="89">
        <f>SUM(J$5:J18)</f>
        <v>26828.376408</v>
      </c>
      <c r="P18" s="89">
        <f>SUM(K$5:K18)</f>
        <v>2980.9307119999989</v>
      </c>
      <c r="Q18" s="85">
        <f>SUM(L$5:L18)</f>
        <v>28222</v>
      </c>
      <c r="R18" t="s">
        <v>100</v>
      </c>
      <c r="S18" s="86">
        <v>44911</v>
      </c>
    </row>
    <row r="19" spans="1:35" x14ac:dyDescent="0.2">
      <c r="A19" s="1" t="s">
        <v>22</v>
      </c>
      <c r="B19" s="76">
        <v>44888</v>
      </c>
      <c r="C19" s="76">
        <v>44917</v>
      </c>
      <c r="D19" s="87">
        <v>5280</v>
      </c>
      <c r="E19" s="85">
        <f t="shared" ref="E19:E20" si="32">+D19*$E$3</f>
        <v>5016</v>
      </c>
      <c r="F19">
        <v>0.17141000000000001</v>
      </c>
      <c r="G19">
        <v>0.02</v>
      </c>
      <c r="H19">
        <v>0.19141</v>
      </c>
      <c r="I19" s="5">
        <f t="shared" ref="I19" si="33">E19*(F19+G19)</f>
        <v>960.11256000000003</v>
      </c>
      <c r="J19" s="5">
        <f t="shared" ref="J19" si="34">I19*G$2</f>
        <v>864.10130400000003</v>
      </c>
      <c r="K19" s="5">
        <f t="shared" ref="K19" si="35">I19-J19</f>
        <v>96.011256000000003</v>
      </c>
      <c r="L19">
        <v>2000</v>
      </c>
      <c r="N19" s="90">
        <f>SUM(E$5:E19)</f>
        <v>166160</v>
      </c>
      <c r="O19" s="89">
        <f>SUM(J$5:J19)</f>
        <v>27692.477712</v>
      </c>
      <c r="P19" s="89">
        <f>SUM(K$5:K19)</f>
        <v>3076.9419679999992</v>
      </c>
      <c r="Q19" s="85">
        <f>SUM(L$5:L19)</f>
        <v>30222</v>
      </c>
      <c r="R19" t="s">
        <v>102</v>
      </c>
      <c r="S19" s="86">
        <v>44943</v>
      </c>
      <c r="T19" t="s">
        <v>103</v>
      </c>
    </row>
    <row r="20" spans="1:35" x14ac:dyDescent="0.2">
      <c r="A20" s="1" t="s">
        <v>23</v>
      </c>
      <c r="B20" s="76">
        <v>44917</v>
      </c>
      <c r="C20" s="76">
        <v>44950</v>
      </c>
      <c r="D20" s="87">
        <v>4960</v>
      </c>
      <c r="E20" s="85">
        <f t="shared" si="32"/>
        <v>4712</v>
      </c>
      <c r="F20">
        <v>0.17141000000000001</v>
      </c>
      <c r="G20">
        <v>0.02</v>
      </c>
      <c r="H20">
        <v>0.19141</v>
      </c>
      <c r="I20" s="5">
        <f t="shared" ref="I20" si="36">E20*(F20+G20)</f>
        <v>901.92391999999995</v>
      </c>
      <c r="J20" s="5">
        <f t="shared" ref="J20" si="37">I20*G$2</f>
        <v>811.73152800000003</v>
      </c>
      <c r="K20" s="5">
        <f t="shared" ref="K20" si="38">I20-J20</f>
        <v>90.192391999999927</v>
      </c>
      <c r="L20">
        <v>2000</v>
      </c>
      <c r="N20" s="90">
        <f>SUM(E$5:E20)</f>
        <v>170872</v>
      </c>
      <c r="O20" s="89">
        <f>SUM(J$5:J20)</f>
        <v>28504.20924</v>
      </c>
      <c r="P20" s="89">
        <f>SUM(K$5:K20)</f>
        <v>3167.1343599999991</v>
      </c>
      <c r="Q20" s="85">
        <f>SUM(L$5:L20)</f>
        <v>32222</v>
      </c>
      <c r="R20" t="s">
        <v>104</v>
      </c>
      <c r="S20" s="86">
        <v>44974</v>
      </c>
    </row>
    <row r="21" spans="1:35" x14ac:dyDescent="0.2">
      <c r="A21" s="1" t="s">
        <v>24</v>
      </c>
      <c r="B21" s="76">
        <v>44950</v>
      </c>
      <c r="C21" s="76">
        <v>44980</v>
      </c>
      <c r="D21" s="87">
        <v>9280</v>
      </c>
      <c r="E21" s="85">
        <f t="shared" ref="E21" si="39">+D21*$E$3</f>
        <v>8816</v>
      </c>
      <c r="F21">
        <v>0.17141000000000001</v>
      </c>
      <c r="G21">
        <v>0.02</v>
      </c>
      <c r="H21">
        <v>0.19141</v>
      </c>
      <c r="I21" s="5">
        <f t="shared" ref="I21" si="40">E21*(F21+G21)</f>
        <v>1687.47056</v>
      </c>
      <c r="J21" s="5">
        <f t="shared" ref="J21" si="41">I21*G$2</f>
        <v>1518.723504</v>
      </c>
      <c r="K21" s="5">
        <f t="shared" ref="K21" si="42">I21-J21</f>
        <v>168.74705599999993</v>
      </c>
      <c r="L21">
        <v>2000</v>
      </c>
      <c r="N21" s="90">
        <f>SUM(E$5:E21)</f>
        <v>179688</v>
      </c>
      <c r="O21" s="89">
        <f>SUM(J$5:J21)</f>
        <v>30022.932744000002</v>
      </c>
      <c r="P21" s="89">
        <f>SUM(K$5:K21)</f>
        <v>3335.8814159999993</v>
      </c>
      <c r="Q21" s="85">
        <f>SUM(L$5:L21)</f>
        <v>34222</v>
      </c>
      <c r="R21" t="s">
        <v>105</v>
      </c>
      <c r="S21" s="86">
        <v>45038</v>
      </c>
      <c r="T21" t="s">
        <v>107</v>
      </c>
    </row>
    <row r="22" spans="1:35" x14ac:dyDescent="0.2">
      <c r="A22" s="1" t="s">
        <v>8</v>
      </c>
      <c r="B22" s="76">
        <v>44980</v>
      </c>
      <c r="C22" s="76">
        <v>45009</v>
      </c>
      <c r="D22" s="87">
        <v>8640</v>
      </c>
      <c r="E22" s="85">
        <f t="shared" ref="E22" si="43">+D22*$E$3</f>
        <v>8208</v>
      </c>
      <c r="F22">
        <v>0.17141000000000001</v>
      </c>
      <c r="G22">
        <v>0.02</v>
      </c>
      <c r="H22">
        <v>0.19141</v>
      </c>
      <c r="I22" s="5">
        <f t="shared" ref="I22" si="44">E22*(F22+G22)</f>
        <v>1571.09328</v>
      </c>
      <c r="J22" s="5">
        <f t="shared" ref="J22" si="45">I22*G$2</f>
        <v>1413.983952</v>
      </c>
      <c r="K22" s="5">
        <f t="shared" ref="K22" si="46">I22-J22</f>
        <v>157.109328</v>
      </c>
      <c r="L22">
        <v>2000</v>
      </c>
      <c r="N22" s="90">
        <f>SUM(E$5:E22)</f>
        <v>187896</v>
      </c>
      <c r="O22" s="89">
        <f>SUM(J$5:J22)</f>
        <v>31436.916696</v>
      </c>
      <c r="P22" s="89">
        <f>SUM(K$5:K22)</f>
        <v>3492.9907439999993</v>
      </c>
      <c r="Q22" s="85">
        <f>SUM(L$5:L22)</f>
        <v>36222</v>
      </c>
      <c r="R22" t="s">
        <v>106</v>
      </c>
      <c r="S22" s="86">
        <v>45063</v>
      </c>
    </row>
    <row r="23" spans="1:35" x14ac:dyDescent="0.2">
      <c r="A23" s="1" t="s">
        <v>7</v>
      </c>
      <c r="B23" s="76">
        <v>45009</v>
      </c>
      <c r="C23" s="76">
        <v>45041</v>
      </c>
      <c r="D23" s="87">
        <v>16560</v>
      </c>
      <c r="E23" s="85">
        <f t="shared" ref="E23" si="47">+D23*$E$3</f>
        <v>15732</v>
      </c>
      <c r="F23">
        <v>0.17141000000000001</v>
      </c>
      <c r="G23">
        <v>0.02</v>
      </c>
      <c r="H23">
        <v>0.19141</v>
      </c>
      <c r="I23" s="5">
        <f t="shared" ref="I23" si="48">E23*(F23+G23)</f>
        <v>3011.2621199999999</v>
      </c>
      <c r="J23" s="5">
        <f t="shared" ref="J23" si="49">I23*G$2</f>
        <v>2710.1359079999997</v>
      </c>
      <c r="K23" s="5">
        <f t="shared" ref="K23" si="50">I23-J23</f>
        <v>301.12621200000012</v>
      </c>
      <c r="L23">
        <v>2000</v>
      </c>
      <c r="N23" s="90">
        <f>SUM(E$5:E23)</f>
        <v>203628</v>
      </c>
      <c r="O23" s="89">
        <f>SUM(J$5:J23)</f>
        <v>34147.052603999997</v>
      </c>
      <c r="P23" s="89">
        <f>SUM(K$5:K23)</f>
        <v>3794.1169559999994</v>
      </c>
      <c r="Q23" s="85">
        <f>SUM(L$5:L23)</f>
        <v>38222</v>
      </c>
      <c r="R23" t="s">
        <v>108</v>
      </c>
      <c r="S23" s="86">
        <v>45063</v>
      </c>
    </row>
    <row r="24" spans="1:35" x14ac:dyDescent="0.2">
      <c r="A24" s="1" t="s">
        <v>14</v>
      </c>
      <c r="B24" s="76">
        <v>45041</v>
      </c>
      <c r="C24" s="76">
        <v>45070</v>
      </c>
      <c r="D24" s="87">
        <v>12800</v>
      </c>
      <c r="E24" s="85">
        <f t="shared" ref="E24" si="51">+D24*$E$3</f>
        <v>12160</v>
      </c>
      <c r="F24">
        <v>0.17141000000000001</v>
      </c>
      <c r="G24">
        <v>0.02</v>
      </c>
      <c r="H24">
        <v>0.19141</v>
      </c>
      <c r="I24" s="5">
        <f t="shared" ref="I24" si="52">E24*(F24+G24)</f>
        <v>2327.5455999999999</v>
      </c>
      <c r="J24" s="5">
        <f t="shared" ref="J24" si="53">I24*G$2</f>
        <v>2094.7910400000001</v>
      </c>
      <c r="K24" s="5">
        <f t="shared" ref="K24" si="54">I24-J24</f>
        <v>232.75455999999986</v>
      </c>
      <c r="L24">
        <v>2000</v>
      </c>
      <c r="N24" s="90">
        <f>SUM(E$5:E24)</f>
        <v>215788</v>
      </c>
      <c r="O24" s="89">
        <f>SUM(J$5:J24)</f>
        <v>36241.843643999993</v>
      </c>
      <c r="P24" s="89">
        <f>SUM(K$5:K24)</f>
        <v>4026.8715159999992</v>
      </c>
      <c r="Q24" s="85">
        <f>SUM(L$5:L24)</f>
        <v>40222</v>
      </c>
      <c r="R24" t="s">
        <v>109</v>
      </c>
      <c r="S24" s="16">
        <v>45159</v>
      </c>
    </row>
    <row r="25" spans="1:35" x14ac:dyDescent="0.2">
      <c r="A25" s="1" t="s">
        <v>15</v>
      </c>
      <c r="B25" s="76">
        <v>45070</v>
      </c>
      <c r="C25" s="76">
        <v>45103</v>
      </c>
      <c r="D25" s="87">
        <v>18000</v>
      </c>
      <c r="E25" s="85">
        <f t="shared" ref="E25" si="55">+D25*$E$3</f>
        <v>17100</v>
      </c>
      <c r="F25">
        <v>0.17141000000000001</v>
      </c>
      <c r="G25">
        <v>0.02</v>
      </c>
      <c r="H25">
        <v>0.19141</v>
      </c>
      <c r="I25" s="5">
        <f t="shared" ref="I25" si="56">E25*(F25+G25)</f>
        <v>3273.1109999999999</v>
      </c>
      <c r="J25" s="5">
        <f t="shared" ref="J25" si="57">I25*G$2</f>
        <v>2945.7999</v>
      </c>
      <c r="K25" s="5">
        <f t="shared" ref="K25" si="58">I25-J25</f>
        <v>327.3110999999999</v>
      </c>
      <c r="L25">
        <v>2000</v>
      </c>
      <c r="N25" s="90">
        <f>SUM(E$5:E25)</f>
        <v>232888</v>
      </c>
      <c r="O25" s="89">
        <f>SUM(J$5:J25)</f>
        <v>39187.643543999991</v>
      </c>
      <c r="P25" s="89">
        <f>SUM(K$5:K25)</f>
        <v>4354.1826159999991</v>
      </c>
      <c r="Q25" s="85">
        <f>SUM(L$5:L25)</f>
        <v>42222</v>
      </c>
      <c r="R25" t="s">
        <v>110</v>
      </c>
      <c r="S25" s="16">
        <v>45159</v>
      </c>
    </row>
    <row r="26" spans="1:35" x14ac:dyDescent="0.2">
      <c r="A26" s="1" t="s">
        <v>16</v>
      </c>
      <c r="B26" s="76">
        <v>45103</v>
      </c>
      <c r="C26" s="76">
        <v>45131</v>
      </c>
      <c r="D26" s="88">
        <v>14320</v>
      </c>
      <c r="E26" s="85">
        <f t="shared" ref="E26" si="59">+D26*$E$3</f>
        <v>13604</v>
      </c>
      <c r="F26">
        <v>0.17141000000000001</v>
      </c>
      <c r="G26">
        <v>0.02</v>
      </c>
      <c r="H26">
        <v>0.19141</v>
      </c>
      <c r="I26" s="5">
        <f t="shared" ref="I26" si="60">E26*(F26+G26)</f>
        <v>2603.94164</v>
      </c>
      <c r="J26" s="5">
        <f t="shared" ref="J26" si="61">I26*G$2</f>
        <v>2343.5474760000002</v>
      </c>
      <c r="K26" s="5">
        <f t="shared" ref="K26" si="62">I26-J26</f>
        <v>260.39416399999982</v>
      </c>
      <c r="L26">
        <v>2000</v>
      </c>
      <c r="N26" s="90">
        <f>SUM(E$5:E26)</f>
        <v>246492</v>
      </c>
      <c r="O26" s="89">
        <f>SUM(J$5:J26)</f>
        <v>41531.191019999991</v>
      </c>
      <c r="P26" s="89">
        <f>SUM(K$5:K26)</f>
        <v>4614.5767799999994</v>
      </c>
      <c r="Q26" s="85">
        <f>SUM(L$5:L26)</f>
        <v>44222</v>
      </c>
      <c r="R26" t="s">
        <v>111</v>
      </c>
      <c r="S26" s="86">
        <v>45149</v>
      </c>
    </row>
    <row r="27" spans="1:35" x14ac:dyDescent="0.2">
      <c r="A27" s="1" t="s">
        <v>18</v>
      </c>
      <c r="B27" s="76">
        <v>45131</v>
      </c>
      <c r="C27" s="76">
        <v>45163</v>
      </c>
      <c r="D27" s="88">
        <v>17680</v>
      </c>
      <c r="E27" s="85">
        <f t="shared" ref="E27" si="63">+D27*$E$3</f>
        <v>16796</v>
      </c>
      <c r="F27">
        <v>0.17141000000000001</v>
      </c>
      <c r="G27">
        <v>0.02</v>
      </c>
      <c r="H27">
        <v>0.19141</v>
      </c>
      <c r="I27" s="5">
        <f t="shared" ref="I27" si="64">E27*(F27+G27)</f>
        <v>3214.92236</v>
      </c>
      <c r="J27" s="5">
        <f t="shared" ref="J27" si="65">I27*G$2</f>
        <v>2893.430124</v>
      </c>
      <c r="K27" s="5">
        <f t="shared" ref="K27" si="66">I27-J27</f>
        <v>321.49223600000005</v>
      </c>
      <c r="L27">
        <v>2000</v>
      </c>
      <c r="N27" s="90">
        <f>SUM(E$5:E27)</f>
        <v>263288</v>
      </c>
      <c r="O27" s="89">
        <f>SUM(J$5:J27)</f>
        <v>44424.62114399999</v>
      </c>
      <c r="P27" s="89">
        <f>SUM(K$5:K27)</f>
        <v>4936.0690159999995</v>
      </c>
      <c r="Q27" s="85">
        <f>SUM(L$5:L27)</f>
        <v>46222</v>
      </c>
      <c r="R27" t="s">
        <v>112</v>
      </c>
      <c r="S27" s="86">
        <v>45184</v>
      </c>
    </row>
    <row r="28" spans="1:35" x14ac:dyDescent="0.2">
      <c r="A28" s="100" t="s">
        <v>19</v>
      </c>
      <c r="B28" s="101">
        <v>45163</v>
      </c>
      <c r="C28" s="101">
        <v>45194</v>
      </c>
      <c r="D28" s="108">
        <v>15600</v>
      </c>
      <c r="E28" s="103">
        <f t="shared" ref="E28" si="67">+D28*$E$3</f>
        <v>14820</v>
      </c>
      <c r="F28" s="104">
        <v>0.17141000000000001</v>
      </c>
      <c r="G28" s="104">
        <v>0.02</v>
      </c>
      <c r="H28" s="104">
        <v>0.19141</v>
      </c>
      <c r="I28" s="105">
        <f t="shared" ref="I28" si="68">E28*(F28+G28)</f>
        <v>2836.6961999999999</v>
      </c>
      <c r="J28" s="105">
        <f t="shared" ref="J28" si="69">I28*G$2</f>
        <v>2553.0265799999997</v>
      </c>
      <c r="K28" s="105">
        <f t="shared" ref="K28" si="70">I28-J28</f>
        <v>283.66962000000012</v>
      </c>
      <c r="L28" s="104">
        <v>2000</v>
      </c>
      <c r="M28" s="104"/>
      <c r="N28" s="106">
        <f>SUM(E$5:E28)</f>
        <v>278108</v>
      </c>
      <c r="O28" s="107">
        <f>SUM(J$5:J28)</f>
        <v>46977.647723999988</v>
      </c>
      <c r="P28" s="107">
        <f>SUM(K$5:K28)</f>
        <v>5219.738636</v>
      </c>
      <c r="Q28" s="103">
        <f>SUM(L$5:L28)</f>
        <v>48222</v>
      </c>
      <c r="R28" s="104" t="s">
        <v>113</v>
      </c>
      <c r="S28" s="112">
        <v>45222</v>
      </c>
      <c r="T28" s="3" t="s">
        <v>115</v>
      </c>
      <c r="U28" s="3"/>
      <c r="V28" s="3"/>
    </row>
    <row r="29" spans="1:35" x14ac:dyDescent="0.2">
      <c r="A29" s="1" t="s">
        <v>20</v>
      </c>
      <c r="B29" s="76">
        <v>45194</v>
      </c>
      <c r="C29" s="76">
        <v>45224</v>
      </c>
      <c r="D29" s="88">
        <v>10960</v>
      </c>
      <c r="E29" s="109">
        <f t="shared" ref="E29" si="71">+D29*$E$3</f>
        <v>10412</v>
      </c>
      <c r="F29">
        <v>0.17141000000000001</v>
      </c>
      <c r="G29">
        <v>0.02</v>
      </c>
      <c r="H29">
        <v>0.19141</v>
      </c>
      <c r="I29" s="110">
        <f t="shared" ref="I29" si="72">E29*(F29+G29)</f>
        <v>1992.96092</v>
      </c>
      <c r="J29" s="110">
        <f t="shared" ref="J29" si="73">I29*G$2</f>
        <v>1793.6648279999999</v>
      </c>
      <c r="K29" s="110">
        <f t="shared" ref="K29" si="74">I29-J29</f>
        <v>199.29609200000004</v>
      </c>
      <c r="L29">
        <v>2000</v>
      </c>
      <c r="N29" s="90">
        <f>SUM(E$5:E29)</f>
        <v>288520</v>
      </c>
      <c r="O29" s="111">
        <f>SUM(J$5:J29)</f>
        <v>48771.312551999989</v>
      </c>
      <c r="P29" s="111">
        <f>SUM(K$5:K29)</f>
        <v>5419.0347280000005</v>
      </c>
      <c r="Q29" s="109">
        <f>SUM(L$5:L29)</f>
        <v>50222</v>
      </c>
      <c r="R29" t="s">
        <v>114</v>
      </c>
      <c r="S29" s="86">
        <v>45236</v>
      </c>
    </row>
    <row r="30" spans="1:35" x14ac:dyDescent="0.2">
      <c r="A30" s="1" t="s">
        <v>21</v>
      </c>
      <c r="B30" s="76">
        <v>45224</v>
      </c>
      <c r="C30" s="76">
        <v>45256</v>
      </c>
      <c r="D30" s="88">
        <v>9200</v>
      </c>
      <c r="E30" s="109">
        <f t="shared" ref="E30:E32" si="75">+D30*$E$3</f>
        <v>8740</v>
      </c>
      <c r="F30">
        <v>0.17141000000000001</v>
      </c>
      <c r="G30">
        <v>0.02</v>
      </c>
      <c r="H30">
        <v>0.19141</v>
      </c>
      <c r="I30" s="110">
        <f t="shared" ref="I30:I31" si="76">E30*(F30+G30)</f>
        <v>1672.9233999999999</v>
      </c>
      <c r="J30" s="110">
        <f t="shared" ref="J30:J31" si="77">I30*G$2</f>
        <v>1505.6310599999999</v>
      </c>
      <c r="K30" s="110">
        <f t="shared" ref="K30:K31" si="78">I30-J30</f>
        <v>167.29233999999997</v>
      </c>
      <c r="L30">
        <v>2000</v>
      </c>
      <c r="N30" s="90">
        <f>SUM(E$5:E30)</f>
        <v>297260</v>
      </c>
      <c r="O30" s="111">
        <f>SUM(J$5:J30)</f>
        <v>50276.943611999988</v>
      </c>
      <c r="P30" s="111">
        <f>SUM(K$5:K30)</f>
        <v>5586.3270680000005</v>
      </c>
      <c r="Q30" s="109">
        <f>SUM(L$5:L30)</f>
        <v>52222</v>
      </c>
      <c r="R30" t="s">
        <v>116</v>
      </c>
      <c r="S30" s="86">
        <v>45268</v>
      </c>
    </row>
    <row r="31" spans="1:35" x14ac:dyDescent="0.2">
      <c r="A31" s="1" t="s">
        <v>22</v>
      </c>
      <c r="B31" s="76">
        <v>45256</v>
      </c>
      <c r="C31" s="76">
        <v>45286</v>
      </c>
      <c r="D31" s="88">
        <v>4960</v>
      </c>
      <c r="E31" s="109">
        <f t="shared" si="75"/>
        <v>4712</v>
      </c>
      <c r="F31">
        <v>0.17141000000000001</v>
      </c>
      <c r="G31">
        <v>0.02</v>
      </c>
      <c r="H31">
        <v>0.19141</v>
      </c>
      <c r="I31" s="110">
        <f t="shared" si="76"/>
        <v>901.92391999999995</v>
      </c>
      <c r="J31" s="110">
        <f t="shared" si="77"/>
        <v>811.73152800000003</v>
      </c>
      <c r="K31" s="110">
        <f t="shared" si="78"/>
        <v>90.192391999999927</v>
      </c>
      <c r="L31">
        <v>2000</v>
      </c>
      <c r="N31" s="90">
        <f>SUM(E$5:E31)</f>
        <v>301972</v>
      </c>
      <c r="O31" s="111">
        <f>SUM(J$5:J31)</f>
        <v>51088.675139999985</v>
      </c>
      <c r="P31" s="111">
        <f>SUM(K$5:K31)</f>
        <v>5676.5194600000004</v>
      </c>
      <c r="Q31" s="109">
        <f>SUM(L$5:L31)</f>
        <v>54222</v>
      </c>
      <c r="R31" t="s">
        <v>117</v>
      </c>
      <c r="S31" s="86">
        <v>45302</v>
      </c>
      <c r="T31" s="76"/>
      <c r="U31" s="76"/>
      <c r="V31" s="88"/>
      <c r="W31" s="109"/>
      <c r="AA31" s="110"/>
      <c r="AB31" s="110"/>
      <c r="AC31" s="110"/>
      <c r="AF31" s="90"/>
      <c r="AG31" s="111"/>
      <c r="AH31" s="111"/>
      <c r="AI31" s="109"/>
    </row>
    <row r="32" spans="1:35" x14ac:dyDescent="0.2">
      <c r="A32" s="1" t="s">
        <v>23</v>
      </c>
      <c r="B32" s="76">
        <v>45286</v>
      </c>
      <c r="C32" s="76">
        <v>45315</v>
      </c>
      <c r="D32" s="88">
        <v>2400</v>
      </c>
      <c r="E32" s="109">
        <f t="shared" si="75"/>
        <v>2280</v>
      </c>
      <c r="F32">
        <v>0.17141000000000001</v>
      </c>
      <c r="G32">
        <v>0.02</v>
      </c>
      <c r="H32">
        <v>0.19141</v>
      </c>
      <c r="I32" s="110">
        <f t="shared" ref="I32" si="79">E32*(F32+G32)</f>
        <v>436.41480000000001</v>
      </c>
      <c r="J32" s="110">
        <f t="shared" ref="J32" si="80">I32*G$2</f>
        <v>392.77332000000001</v>
      </c>
      <c r="K32" s="110">
        <f t="shared" ref="K32" si="81">I32-J32</f>
        <v>43.641480000000001</v>
      </c>
      <c r="L32">
        <v>2000</v>
      </c>
      <c r="N32" s="90">
        <f>SUM(E$5:E32)</f>
        <v>304252</v>
      </c>
      <c r="O32" s="111">
        <f>SUM(J$5:J32)</f>
        <v>51481.448459999985</v>
      </c>
      <c r="P32" s="111">
        <f>SUM(K$5:K32)</f>
        <v>5720.1609400000007</v>
      </c>
      <c r="Q32" s="109">
        <f>SUM(L$5:L32)</f>
        <v>56222</v>
      </c>
      <c r="R32" t="s">
        <v>118</v>
      </c>
      <c r="S32" s="86">
        <v>45334</v>
      </c>
    </row>
    <row r="33" spans="1:20" x14ac:dyDescent="0.2">
      <c r="A33" s="1" t="s">
        <v>24</v>
      </c>
      <c r="B33" s="76">
        <v>45315</v>
      </c>
      <c r="C33" s="76">
        <v>45345</v>
      </c>
      <c r="D33" s="88">
        <v>8000</v>
      </c>
      <c r="E33" s="109">
        <f t="shared" ref="E33:E34" si="82">+D33*$E$3</f>
        <v>7600</v>
      </c>
      <c r="F33">
        <v>0.17141000000000001</v>
      </c>
      <c r="G33">
        <v>0.02</v>
      </c>
      <c r="H33">
        <v>0.19141</v>
      </c>
      <c r="I33" s="110">
        <f t="shared" ref="I33" si="83">E33*(F33+G33)</f>
        <v>1454.7159999999999</v>
      </c>
      <c r="J33" s="110">
        <f t="shared" ref="J33" si="84">I33*G$2</f>
        <v>1309.2444</v>
      </c>
      <c r="K33" s="110">
        <f t="shared" ref="K33" si="85">I33-J33</f>
        <v>145.47159999999985</v>
      </c>
      <c r="L33">
        <v>2000</v>
      </c>
      <c r="N33" s="90">
        <f>SUM(E$5:E33)</f>
        <v>311852</v>
      </c>
      <c r="O33" s="111">
        <f>SUM(J$5:J33)</f>
        <v>52790.692859999988</v>
      </c>
      <c r="P33" s="111">
        <f>SUM(K$5:K33)</f>
        <v>5865.6325400000005</v>
      </c>
      <c r="Q33" s="109">
        <f>SUM(L$5:L33)</f>
        <v>58222</v>
      </c>
      <c r="R33" t="s">
        <v>119</v>
      </c>
      <c r="S33" s="86">
        <v>45361</v>
      </c>
    </row>
    <row r="34" spans="1:20" x14ac:dyDescent="0.2">
      <c r="A34" s="1" t="s">
        <v>8</v>
      </c>
      <c r="B34" s="76">
        <v>45345</v>
      </c>
      <c r="C34" s="76">
        <v>45377</v>
      </c>
      <c r="D34" s="88">
        <v>13200</v>
      </c>
      <c r="E34" s="109">
        <f t="shared" si="82"/>
        <v>12540</v>
      </c>
      <c r="F34">
        <v>0.17141000000000001</v>
      </c>
      <c r="G34">
        <v>0.02</v>
      </c>
      <c r="H34">
        <v>0.19141</v>
      </c>
      <c r="I34" s="110">
        <f t="shared" ref="I34" si="86">E34*(F34+G34)</f>
        <v>2400.2813999999998</v>
      </c>
      <c r="J34" s="110">
        <f t="shared" ref="J34" si="87">I34*G$2</f>
        <v>2160.25326</v>
      </c>
      <c r="K34" s="110">
        <f t="shared" ref="K34" si="88">I34-J34</f>
        <v>240.02813999999989</v>
      </c>
      <c r="L34">
        <v>2000</v>
      </c>
      <c r="N34" s="90">
        <f>SUM(E$5:E34)</f>
        <v>324392</v>
      </c>
      <c r="O34" s="111">
        <f>SUM(J$5:J34)</f>
        <v>54950.946119999986</v>
      </c>
      <c r="P34" s="111">
        <f>SUM(K$5:K34)</f>
        <v>6105.6606800000009</v>
      </c>
      <c r="Q34" s="109">
        <f>SUM(L$5:L34)</f>
        <v>60222</v>
      </c>
      <c r="R34" t="s">
        <v>120</v>
      </c>
      <c r="S34" s="86">
        <v>45392</v>
      </c>
    </row>
    <row r="35" spans="1:20" x14ac:dyDescent="0.2">
      <c r="A35" s="1" t="s">
        <v>7</v>
      </c>
      <c r="B35" s="76">
        <v>45377</v>
      </c>
      <c r="C35" s="76">
        <v>45407</v>
      </c>
      <c r="D35" s="88">
        <v>14720</v>
      </c>
      <c r="E35" s="109">
        <f t="shared" ref="E35:E36" si="89">+D35*$E$3</f>
        <v>13984</v>
      </c>
      <c r="F35">
        <v>0.17141000000000001</v>
      </c>
      <c r="G35">
        <v>0.02</v>
      </c>
      <c r="H35">
        <v>0.19141</v>
      </c>
      <c r="I35" s="110">
        <f t="shared" ref="I35" si="90">E35*(F35+G35)</f>
        <v>2676.6774399999999</v>
      </c>
      <c r="J35" s="110">
        <f t="shared" ref="J35" si="91">I35*G$2</f>
        <v>2409.0096960000001</v>
      </c>
      <c r="K35" s="110">
        <f t="shared" ref="K35" si="92">I35-J35</f>
        <v>267.66774399999986</v>
      </c>
      <c r="L35">
        <v>2000</v>
      </c>
      <c r="N35" s="90">
        <f>SUM(E$5:E35)</f>
        <v>338376</v>
      </c>
      <c r="O35" s="111">
        <f>SUM(J$5:J35)</f>
        <v>57359.955815999987</v>
      </c>
      <c r="P35" s="111">
        <f>SUM(K$5:K35)</f>
        <v>6373.3284240000012</v>
      </c>
      <c r="Q35" s="109">
        <f>SUM(L$5:L35)</f>
        <v>62222</v>
      </c>
      <c r="R35" t="s">
        <v>122</v>
      </c>
      <c r="S35" s="86">
        <v>45421</v>
      </c>
    </row>
    <row r="36" spans="1:20" x14ac:dyDescent="0.2">
      <c r="A36" s="1" t="s">
        <v>14</v>
      </c>
      <c r="B36" s="76">
        <v>45407</v>
      </c>
      <c r="C36" s="76">
        <v>45440</v>
      </c>
      <c r="D36" s="88">
        <v>18240</v>
      </c>
      <c r="E36" s="109">
        <f t="shared" si="89"/>
        <v>17328</v>
      </c>
      <c r="F36">
        <v>0.17141000000000001</v>
      </c>
      <c r="G36">
        <v>0.02</v>
      </c>
      <c r="H36">
        <v>0.19141</v>
      </c>
      <c r="I36" s="110">
        <f t="shared" ref="I36" si="93">E36*(F36+G36)</f>
        <v>3316.7524800000001</v>
      </c>
      <c r="J36" s="110">
        <f t="shared" ref="J36" si="94">I36*G$2</f>
        <v>2985.0772320000001</v>
      </c>
      <c r="K36" s="110">
        <f t="shared" ref="K36" si="95">I36-J36</f>
        <v>331.67524800000001</v>
      </c>
      <c r="L36">
        <v>2000</v>
      </c>
      <c r="N36" s="90">
        <f>SUM(E$5:E36)</f>
        <v>355704</v>
      </c>
      <c r="O36" s="111">
        <f>SUM(J$5:J36)</f>
        <v>60345.03304799999</v>
      </c>
      <c r="P36" s="111">
        <f>SUM(K$5:K36)</f>
        <v>6705.0036720000007</v>
      </c>
      <c r="Q36" s="109">
        <f>SUM(L$5:L36)</f>
        <v>64222</v>
      </c>
      <c r="R36" t="s">
        <v>123</v>
      </c>
      <c r="S36" s="86">
        <v>45463</v>
      </c>
    </row>
    <row r="37" spans="1:20" x14ac:dyDescent="0.2">
      <c r="A37" s="1" t="s">
        <v>15</v>
      </c>
      <c r="B37" s="76">
        <v>45440</v>
      </c>
      <c r="C37" s="76">
        <v>45467</v>
      </c>
      <c r="D37" s="88">
        <v>16720</v>
      </c>
      <c r="E37" s="109">
        <f t="shared" ref="E37:E40" si="96">+D37*$E$3</f>
        <v>15884</v>
      </c>
      <c r="F37">
        <v>0.17141000000000001</v>
      </c>
      <c r="G37">
        <v>0.02</v>
      </c>
      <c r="H37">
        <v>0.19141</v>
      </c>
      <c r="I37" s="110">
        <f t="shared" ref="I37" si="97">E37*(F37+G37)</f>
        <v>3040.35644</v>
      </c>
      <c r="J37" s="110">
        <f t="shared" ref="J37" si="98">I37*G$2</f>
        <v>2736.320796</v>
      </c>
      <c r="K37" s="110">
        <f t="shared" ref="K37" si="99">I37-J37</f>
        <v>304.03564400000005</v>
      </c>
      <c r="L37">
        <v>2000</v>
      </c>
      <c r="N37" s="90">
        <f>SUM(E$5:E37)</f>
        <v>371588</v>
      </c>
      <c r="O37" s="111">
        <f>SUM(J$5:J37)</f>
        <v>63081.35384399999</v>
      </c>
      <c r="P37" s="111">
        <f>SUM(K$5:K37)</f>
        <v>7009.0393160000003</v>
      </c>
      <c r="Q37" s="109">
        <f>SUM(L$5:L37)</f>
        <v>66222</v>
      </c>
      <c r="R37" t="s">
        <v>124</v>
      </c>
      <c r="S37" s="86">
        <v>45482</v>
      </c>
    </row>
    <row r="38" spans="1:20" x14ac:dyDescent="0.2">
      <c r="A38" s="1" t="s">
        <v>16</v>
      </c>
      <c r="B38" s="76">
        <v>45467</v>
      </c>
      <c r="C38" s="76">
        <v>45499</v>
      </c>
      <c r="D38" s="88">
        <v>19920</v>
      </c>
      <c r="E38" s="109">
        <f t="shared" si="96"/>
        <v>18924</v>
      </c>
      <c r="F38">
        <v>0.17141000000000001</v>
      </c>
      <c r="G38">
        <v>0.02</v>
      </c>
      <c r="H38">
        <v>0.19141</v>
      </c>
      <c r="I38" s="110">
        <f t="shared" ref="I38" si="100">E38*(F38+G38)</f>
        <v>3622.2428399999999</v>
      </c>
      <c r="J38" s="110">
        <f t="shared" ref="J38" si="101">I38*G$2</f>
        <v>3260.018556</v>
      </c>
      <c r="K38" s="110">
        <f t="shared" ref="K38" si="102">I38-J38</f>
        <v>362.2242839999999</v>
      </c>
      <c r="L38">
        <v>2000</v>
      </c>
      <c r="N38" s="90">
        <f>SUM(E$5:E38)</f>
        <v>390512</v>
      </c>
      <c r="O38" s="111">
        <f>SUM(J$5:J38)</f>
        <v>66341.372399999993</v>
      </c>
      <c r="P38" s="111">
        <f>SUM(K$5:K38)</f>
        <v>7371.2636000000002</v>
      </c>
      <c r="Q38" s="109">
        <f>SUM(L$5:L38)</f>
        <v>68222</v>
      </c>
      <c r="R38" t="s">
        <v>126</v>
      </c>
      <c r="S38" s="86">
        <v>45510</v>
      </c>
    </row>
    <row r="39" spans="1:20" x14ac:dyDescent="0.2">
      <c r="A39" s="1" t="s">
        <v>18</v>
      </c>
      <c r="B39" s="76">
        <v>45499</v>
      </c>
      <c r="C39" s="76">
        <v>45530</v>
      </c>
      <c r="D39" s="88">
        <v>16480</v>
      </c>
      <c r="E39" s="109">
        <f t="shared" si="96"/>
        <v>15656</v>
      </c>
      <c r="F39" s="114">
        <v>0.18398</v>
      </c>
      <c r="G39">
        <v>0.02</v>
      </c>
      <c r="H39">
        <f t="shared" ref="H39:H44" si="103">F39+G39</f>
        <v>0.20397999999999999</v>
      </c>
      <c r="I39" s="110">
        <f t="shared" ref="I39" si="104">E39*(F39+G39)</f>
        <v>3193.5108799999998</v>
      </c>
      <c r="J39" s="110">
        <f t="shared" ref="J39" si="105">I39*G$2</f>
        <v>2874.1597919999999</v>
      </c>
      <c r="K39" s="110">
        <f t="shared" ref="K39" si="106">I39-J39</f>
        <v>319.35108799999989</v>
      </c>
      <c r="L39">
        <v>2000</v>
      </c>
      <c r="N39" s="90">
        <f>SUM(E$5:E39)</f>
        <v>406168</v>
      </c>
      <c r="O39" s="111">
        <f>SUM(J$5:J39)</f>
        <v>69215.532191999999</v>
      </c>
      <c r="P39" s="111">
        <f>SUM(K$5:K39)</f>
        <v>7690.6146879999997</v>
      </c>
      <c r="Q39" s="109">
        <f>SUM(L$5:L39)</f>
        <v>70222</v>
      </c>
      <c r="R39" t="s">
        <v>127</v>
      </c>
      <c r="S39" s="86">
        <v>45558</v>
      </c>
    </row>
    <row r="40" spans="1:20" s="104" customFormat="1" x14ac:dyDescent="0.2">
      <c r="A40" s="100" t="s">
        <v>19</v>
      </c>
      <c r="B40" s="101">
        <v>45530</v>
      </c>
      <c r="C40" s="101">
        <v>45560</v>
      </c>
      <c r="D40" s="102">
        <v>18880</v>
      </c>
      <c r="E40" s="103">
        <f t="shared" si="96"/>
        <v>17936</v>
      </c>
      <c r="F40" s="116">
        <v>0.18398</v>
      </c>
      <c r="G40" s="104">
        <v>0.02</v>
      </c>
      <c r="H40" s="104">
        <f t="shared" si="103"/>
        <v>0.20397999999999999</v>
      </c>
      <c r="I40" s="105">
        <f t="shared" ref="I40" si="107">E40*(F40+G40)</f>
        <v>3658.5852799999998</v>
      </c>
      <c r="J40" s="105">
        <f t="shared" ref="J40" si="108">I40*G$2</f>
        <v>3292.726752</v>
      </c>
      <c r="K40" s="105">
        <f t="shared" ref="K40" si="109">I40-J40</f>
        <v>365.85852799999975</v>
      </c>
      <c r="L40" s="104">
        <v>2000</v>
      </c>
      <c r="N40" s="106">
        <f>SUM(E$5:E40)</f>
        <v>424104</v>
      </c>
      <c r="O40" s="107">
        <f>SUM(J$5:J40)</f>
        <v>72508.258944000001</v>
      </c>
      <c r="P40" s="107">
        <f>SUM(K$5:K40)</f>
        <v>8056.4732159999994</v>
      </c>
      <c r="Q40" s="103">
        <f>SUM(L$5:L40)</f>
        <v>72222</v>
      </c>
      <c r="R40" s="104" t="s">
        <v>128</v>
      </c>
      <c r="S40" s="117">
        <v>45575</v>
      </c>
    </row>
    <row r="41" spans="1:20" x14ac:dyDescent="0.2">
      <c r="A41" s="1" t="s">
        <v>20</v>
      </c>
      <c r="B41" s="76">
        <v>45560</v>
      </c>
      <c r="C41" s="76">
        <v>45590</v>
      </c>
      <c r="D41" s="88">
        <v>15280</v>
      </c>
      <c r="E41" s="109">
        <f t="shared" ref="E41:E42" si="110">+D41*$E$3</f>
        <v>14516</v>
      </c>
      <c r="F41" s="114">
        <v>0.18398</v>
      </c>
      <c r="G41">
        <v>0.02</v>
      </c>
      <c r="H41">
        <f t="shared" si="103"/>
        <v>0.20397999999999999</v>
      </c>
      <c r="I41" s="110">
        <f t="shared" ref="I41" si="111">E41*(F41+G41)</f>
        <v>2960.9736800000001</v>
      </c>
      <c r="J41" s="110">
        <f t="shared" ref="J41" si="112">I41*G$2</f>
        <v>2664.8763120000003</v>
      </c>
      <c r="K41" s="110">
        <f t="shared" ref="K41" si="113">I41-J41</f>
        <v>296.09736799999973</v>
      </c>
      <c r="L41">
        <v>2100</v>
      </c>
      <c r="N41" s="90">
        <f>SUM(E$5:E41)</f>
        <v>438620</v>
      </c>
      <c r="O41" s="111">
        <f>SUM(J$5:J41)</f>
        <v>75173.135256000009</v>
      </c>
      <c r="P41" s="111">
        <f>SUM(K$5:K41)</f>
        <v>8352.5705839999991</v>
      </c>
      <c r="Q41" s="109">
        <f>SUM(L$5:L41)</f>
        <v>74322</v>
      </c>
      <c r="R41" t="s">
        <v>132</v>
      </c>
      <c r="S41" s="86">
        <v>45600</v>
      </c>
    </row>
    <row r="42" spans="1:20" x14ac:dyDescent="0.2">
      <c r="A42" s="1" t="s">
        <v>21</v>
      </c>
      <c r="B42" s="76">
        <v>45590</v>
      </c>
      <c r="C42" s="76">
        <v>45618</v>
      </c>
      <c r="D42" s="88">
        <v>10080</v>
      </c>
      <c r="E42" s="109">
        <f t="shared" si="110"/>
        <v>9576</v>
      </c>
      <c r="F42" s="114">
        <v>0.18398</v>
      </c>
      <c r="G42">
        <v>0.02</v>
      </c>
      <c r="H42">
        <f t="shared" si="103"/>
        <v>0.20397999999999999</v>
      </c>
      <c r="I42" s="110">
        <f t="shared" ref="I42" si="114">E42*(F42+G42)</f>
        <v>1953.3124800000001</v>
      </c>
      <c r="J42" s="110">
        <f t="shared" ref="J42" si="115">I42*G$2</f>
        <v>1757.9812320000001</v>
      </c>
      <c r="K42" s="110">
        <f t="shared" ref="K42" si="116">I42-J42</f>
        <v>195.33124799999996</v>
      </c>
      <c r="L42">
        <v>2100</v>
      </c>
      <c r="N42" s="90">
        <f>SUM(E$5:E42)</f>
        <v>448196</v>
      </c>
      <c r="O42" s="111">
        <f>SUM(J$5:J42)</f>
        <v>76931.116488000014</v>
      </c>
      <c r="P42" s="111">
        <f>SUM(K$5:K42)</f>
        <v>8547.9018319999996</v>
      </c>
      <c r="Q42" s="109">
        <f>SUM(L$5:L42)</f>
        <v>76422</v>
      </c>
      <c r="R42" t="s">
        <v>134</v>
      </c>
      <c r="S42" s="86">
        <v>45637</v>
      </c>
    </row>
    <row r="43" spans="1:20" x14ac:dyDescent="0.2">
      <c r="A43" s="1" t="s">
        <v>22</v>
      </c>
      <c r="B43" s="76">
        <v>45618</v>
      </c>
      <c r="C43" s="76">
        <v>45649</v>
      </c>
      <c r="D43" s="88">
        <v>3600</v>
      </c>
      <c r="E43" s="109">
        <f t="shared" ref="E43:E53" si="117">+D43*$E$3</f>
        <v>3420</v>
      </c>
      <c r="F43" s="114">
        <v>0.18398</v>
      </c>
      <c r="G43">
        <v>0.02</v>
      </c>
      <c r="H43">
        <f t="shared" si="103"/>
        <v>0.20397999999999999</v>
      </c>
      <c r="I43" s="110">
        <f t="shared" ref="I43" si="118">E43*(F43+G43)</f>
        <v>697.61159999999995</v>
      </c>
      <c r="J43" s="110">
        <f t="shared" ref="J43" si="119">I43*G$2</f>
        <v>627.85043999999994</v>
      </c>
      <c r="K43" s="110">
        <f t="shared" ref="K43" si="120">I43-J43</f>
        <v>69.761160000000018</v>
      </c>
      <c r="L43">
        <v>2100</v>
      </c>
      <c r="N43" s="90">
        <f>SUM(E$5:E43)</f>
        <v>451616</v>
      </c>
      <c r="O43" s="111">
        <f>SUM(J$5:J43)</f>
        <v>77558.966928000009</v>
      </c>
      <c r="P43" s="111">
        <f>SUM(K$5:K43)</f>
        <v>8617.6629919999996</v>
      </c>
      <c r="Q43" s="109">
        <f>SUM(L$5:L43)</f>
        <v>78522</v>
      </c>
      <c r="R43" t="s">
        <v>135</v>
      </c>
      <c r="S43" s="86">
        <v>45663</v>
      </c>
    </row>
    <row r="44" spans="1:20" x14ac:dyDescent="0.2">
      <c r="A44" s="1" t="s">
        <v>23</v>
      </c>
      <c r="B44" s="76">
        <v>45649</v>
      </c>
      <c r="C44" s="76">
        <v>45680</v>
      </c>
      <c r="D44" s="88">
        <v>5040</v>
      </c>
      <c r="E44" s="109">
        <f t="shared" si="117"/>
        <v>4788</v>
      </c>
      <c r="F44" s="114">
        <v>0.18398</v>
      </c>
      <c r="G44">
        <v>0.02</v>
      </c>
      <c r="H44">
        <f t="shared" si="103"/>
        <v>0.20397999999999999</v>
      </c>
      <c r="I44" s="110">
        <f t="shared" ref="I44" si="121">E44*(F44+G44)</f>
        <v>976.65624000000003</v>
      </c>
      <c r="J44" s="110">
        <f t="shared" ref="J44" si="122">I44*G$2</f>
        <v>878.99061600000005</v>
      </c>
      <c r="K44" s="110">
        <f t="shared" ref="K44" si="123">I44-J44</f>
        <v>97.66562399999998</v>
      </c>
      <c r="L44">
        <v>2100</v>
      </c>
      <c r="N44" s="90">
        <f>SUM(E$5:E44)</f>
        <v>456404</v>
      </c>
      <c r="O44" s="111">
        <f>SUM(J$5:J44)</f>
        <v>78437.957544000004</v>
      </c>
      <c r="P44" s="111">
        <f>SUM(K$5:K44)</f>
        <v>8715.3286159999989</v>
      </c>
      <c r="Q44" s="109">
        <f>SUM(L$5:L44)</f>
        <v>80622</v>
      </c>
      <c r="R44" t="s">
        <v>136</v>
      </c>
      <c r="S44" s="86">
        <v>45694</v>
      </c>
    </row>
    <row r="45" spans="1:20" x14ac:dyDescent="0.2">
      <c r="A45" s="1" t="s">
        <v>24</v>
      </c>
      <c r="B45" s="76">
        <v>45680</v>
      </c>
      <c r="C45" s="76">
        <v>45712</v>
      </c>
      <c r="D45" s="88">
        <v>2720</v>
      </c>
      <c r="E45" s="109">
        <f t="shared" si="117"/>
        <v>2584</v>
      </c>
      <c r="F45" s="114">
        <v>0.18398</v>
      </c>
      <c r="G45">
        <v>0.02</v>
      </c>
      <c r="H45">
        <f t="shared" ref="H45" si="124">F45+G45</f>
        <v>0.20397999999999999</v>
      </c>
      <c r="I45" s="110">
        <f t="shared" ref="I45" si="125">E45*(F45+G45)</f>
        <v>527.08431999999993</v>
      </c>
      <c r="J45" s="110">
        <f t="shared" ref="J45" si="126">I45*G$2</f>
        <v>474.37588799999997</v>
      </c>
      <c r="K45" s="110">
        <f t="shared" ref="K45" si="127">I45-J45</f>
        <v>52.708431999999959</v>
      </c>
      <c r="L45">
        <v>2100</v>
      </c>
      <c r="N45" s="90">
        <f>SUM(E$5:E45)</f>
        <v>458988</v>
      </c>
      <c r="O45" s="111">
        <f>SUM(J$5:J45)</f>
        <v>78912.333431999999</v>
      </c>
      <c r="P45" s="111">
        <f>SUM(K$5:K45)</f>
        <v>8768.0370479999983</v>
      </c>
      <c r="Q45" s="109">
        <f>SUM(L$5:L45)</f>
        <v>82722</v>
      </c>
      <c r="R45" t="s">
        <v>137</v>
      </c>
      <c r="S45" s="86">
        <v>45721</v>
      </c>
    </row>
    <row r="46" spans="1:20" x14ac:dyDescent="0.2">
      <c r="A46" s="1" t="s">
        <v>8</v>
      </c>
      <c r="B46" s="76">
        <v>45712</v>
      </c>
      <c r="C46" s="76">
        <v>45741</v>
      </c>
      <c r="D46" s="88">
        <v>10000</v>
      </c>
      <c r="E46" s="109">
        <f t="shared" si="117"/>
        <v>9500</v>
      </c>
      <c r="F46" s="114">
        <v>0.18398</v>
      </c>
      <c r="G46">
        <v>0.02</v>
      </c>
      <c r="H46">
        <f t="shared" ref="H46" si="128">F46+G46</f>
        <v>0.20397999999999999</v>
      </c>
      <c r="I46" s="110">
        <f t="shared" ref="I46" si="129">E46*(F46+G46)</f>
        <v>1937.81</v>
      </c>
      <c r="J46" s="110">
        <f t="shared" ref="J46" si="130">I46*G$2</f>
        <v>1744.029</v>
      </c>
      <c r="K46" s="110">
        <f t="shared" ref="K46" si="131">I46-J46</f>
        <v>193.78099999999995</v>
      </c>
      <c r="L46">
        <v>2100</v>
      </c>
      <c r="N46" s="90">
        <f>SUM(E$5:E46)</f>
        <v>468488</v>
      </c>
      <c r="O46" s="111">
        <f>SUM(J$5:J46)</f>
        <v>80656.362431999994</v>
      </c>
      <c r="P46" s="111">
        <f>SUM(K$5:K46)</f>
        <v>8961.8180479999974</v>
      </c>
      <c r="Q46" s="109">
        <f>SUM(L$5:L46)</f>
        <v>84822</v>
      </c>
      <c r="R46" t="s">
        <v>138</v>
      </c>
      <c r="S46" s="86">
        <v>45757</v>
      </c>
    </row>
    <row r="47" spans="1:20" x14ac:dyDescent="0.2">
      <c r="A47" s="1" t="s">
        <v>7</v>
      </c>
      <c r="B47" s="76">
        <v>45741</v>
      </c>
      <c r="C47" s="76">
        <v>45771</v>
      </c>
      <c r="D47" s="88">
        <v>13280</v>
      </c>
      <c r="E47" s="109">
        <f t="shared" si="117"/>
        <v>12616</v>
      </c>
      <c r="F47" s="114">
        <v>0.18398</v>
      </c>
      <c r="G47">
        <v>0.02</v>
      </c>
      <c r="H47">
        <f t="shared" ref="H47" si="132">F47+G47</f>
        <v>0.20397999999999999</v>
      </c>
      <c r="I47" s="110">
        <f t="shared" ref="I47" si="133">E47*(F47+G47)</f>
        <v>2573.4116799999997</v>
      </c>
      <c r="J47" s="110">
        <f t="shared" ref="J47" si="134">I47*G$2</f>
        <v>2316.0705119999998</v>
      </c>
      <c r="K47" s="110">
        <f t="shared" ref="K47" si="135">I47-J47</f>
        <v>257.34116799999993</v>
      </c>
      <c r="L47">
        <v>2100</v>
      </c>
      <c r="N47" s="90">
        <f>SUM(E$5:E47)</f>
        <v>481104</v>
      </c>
      <c r="O47" s="111">
        <f>SUM(J$5:J47)</f>
        <v>82972.432944</v>
      </c>
      <c r="P47" s="111">
        <f>SUM(K$5:K47)</f>
        <v>9219.1592159999964</v>
      </c>
      <c r="Q47" s="109">
        <f>SUM(L$5:L47)</f>
        <v>86922</v>
      </c>
      <c r="R47" t="s">
        <v>139</v>
      </c>
      <c r="S47" s="86">
        <v>45800</v>
      </c>
    </row>
    <row r="48" spans="1:20" x14ac:dyDescent="0.2">
      <c r="A48" s="1" t="s">
        <v>14</v>
      </c>
      <c r="B48" s="76">
        <v>45772</v>
      </c>
      <c r="C48" s="76">
        <v>45800</v>
      </c>
      <c r="D48" s="88">
        <v>13280</v>
      </c>
      <c r="E48" s="109">
        <f t="shared" si="117"/>
        <v>12616</v>
      </c>
      <c r="F48" s="114">
        <v>0.18398</v>
      </c>
      <c r="G48">
        <v>0.02</v>
      </c>
      <c r="H48">
        <f t="shared" ref="H48" si="136">F48+G48</f>
        <v>0.20397999999999999</v>
      </c>
      <c r="I48" s="110">
        <f t="shared" ref="I48" si="137">E48*(F48+G48)</f>
        <v>2573.4116799999997</v>
      </c>
      <c r="J48" s="110">
        <f t="shared" ref="J48" si="138">I48*G$2</f>
        <v>2316.0705119999998</v>
      </c>
      <c r="K48" s="110">
        <f t="shared" ref="K48" si="139">I48-J48</f>
        <v>257.34116799999993</v>
      </c>
      <c r="L48">
        <v>2100</v>
      </c>
      <c r="N48" s="90">
        <f>SUM(E$5:E48)</f>
        <v>493720</v>
      </c>
      <c r="O48" s="111">
        <f>SUM(J$5:J48)</f>
        <v>85288.503456000006</v>
      </c>
      <c r="P48" s="111">
        <f>SUM(K$5:K48)</f>
        <v>9476.5003839999954</v>
      </c>
      <c r="Q48" s="109">
        <f>SUM(L$5:L48)</f>
        <v>89022</v>
      </c>
      <c r="R48" t="s">
        <v>140</v>
      </c>
      <c r="S48" s="86">
        <v>45824</v>
      </c>
      <c r="T48" t="s">
        <v>141</v>
      </c>
    </row>
    <row r="49" spans="1:20" x14ac:dyDescent="0.2">
      <c r="A49" s="1" t="s">
        <v>15</v>
      </c>
      <c r="B49" s="76">
        <v>45800</v>
      </c>
      <c r="C49" s="76">
        <v>45832</v>
      </c>
      <c r="D49" s="88">
        <v>18960</v>
      </c>
      <c r="E49" s="109">
        <f t="shared" si="117"/>
        <v>18012</v>
      </c>
      <c r="F49" s="114">
        <v>0.18398</v>
      </c>
      <c r="G49">
        <v>0.02</v>
      </c>
      <c r="H49">
        <f t="shared" ref="H49" si="140">F49+G49</f>
        <v>0.20397999999999999</v>
      </c>
      <c r="I49" s="110">
        <f t="shared" ref="I49" si="141">E49*(F49+G49)</f>
        <v>3674.0877599999999</v>
      </c>
      <c r="J49" s="110">
        <f t="shared" ref="J49" si="142">I49*G$2</f>
        <v>3306.6789840000001</v>
      </c>
      <c r="K49" s="110">
        <f t="shared" ref="K49" si="143">I49-J49</f>
        <v>367.40877599999976</v>
      </c>
      <c r="L49">
        <v>2100</v>
      </c>
      <c r="N49" s="90">
        <f>SUM(E$5:E49)</f>
        <v>511732</v>
      </c>
      <c r="O49" s="111">
        <f>SUM(J$5:J49)</f>
        <v>88595.182440000004</v>
      </c>
      <c r="P49" s="111">
        <f>SUM(K$5:K49)</f>
        <v>9843.9091599999956</v>
      </c>
      <c r="Q49" s="109">
        <f>SUM(L$5:L49)</f>
        <v>91122</v>
      </c>
      <c r="R49" t="s">
        <v>142</v>
      </c>
      <c r="S49" s="86">
        <v>45849</v>
      </c>
      <c r="T49" t="s">
        <v>143</v>
      </c>
    </row>
    <row r="50" spans="1:20" x14ac:dyDescent="0.2">
      <c r="A50" s="1" t="s">
        <v>16</v>
      </c>
      <c r="B50" s="76">
        <v>45832</v>
      </c>
      <c r="C50" s="76">
        <v>45862</v>
      </c>
      <c r="D50" s="88">
        <v>19040</v>
      </c>
      <c r="E50" s="109">
        <f t="shared" si="117"/>
        <v>18088</v>
      </c>
      <c r="F50" s="114">
        <v>0.18398</v>
      </c>
      <c r="G50">
        <v>0.02</v>
      </c>
      <c r="H50">
        <f t="shared" ref="H50" si="144">F50+G50</f>
        <v>0.20397999999999999</v>
      </c>
      <c r="I50" s="110">
        <f t="shared" ref="I50" si="145">E50*(F50+G50)</f>
        <v>3689.59024</v>
      </c>
      <c r="J50" s="110">
        <f t="shared" ref="J50" si="146">I50*G$2</f>
        <v>3320.6312160000002</v>
      </c>
      <c r="K50" s="110">
        <f t="shared" ref="K50" si="147">I50-J50</f>
        <v>368.95902399999977</v>
      </c>
      <c r="L50">
        <v>2100</v>
      </c>
      <c r="N50" s="90">
        <f>SUM(E$5:E50)</f>
        <v>529820</v>
      </c>
      <c r="O50" s="111">
        <f>SUM(J$5:J50)</f>
        <v>91915.813655999998</v>
      </c>
      <c r="P50" s="111">
        <f>SUM(K$5:K50)</f>
        <v>10212.868183999995</v>
      </c>
      <c r="Q50" s="109">
        <f>SUM(L$5:L50)</f>
        <v>93222</v>
      </c>
      <c r="R50" t="s">
        <v>144</v>
      </c>
      <c r="S50" s="86">
        <v>45882</v>
      </c>
    </row>
    <row r="51" spans="1:20" x14ac:dyDescent="0.2">
      <c r="A51" s="1" t="s">
        <v>18</v>
      </c>
      <c r="B51" s="76">
        <v>45862</v>
      </c>
      <c r="C51" s="76">
        <v>45894</v>
      </c>
      <c r="D51" s="88">
        <v>20640</v>
      </c>
      <c r="E51" s="109">
        <f t="shared" si="117"/>
        <v>19608</v>
      </c>
      <c r="F51" s="114">
        <v>0.18398</v>
      </c>
      <c r="G51">
        <v>0.02</v>
      </c>
      <c r="H51">
        <f t="shared" ref="H51" si="148">F51+G51</f>
        <v>0.20397999999999999</v>
      </c>
      <c r="I51" s="110">
        <f t="shared" ref="I51" si="149">E51*(F51+G51)</f>
        <v>3999.6398399999998</v>
      </c>
      <c r="J51" s="110">
        <f t="shared" ref="J51" si="150">I51*G$2</f>
        <v>3599.6758559999998</v>
      </c>
      <c r="K51" s="110">
        <f t="shared" ref="K51" si="151">I51-J51</f>
        <v>399.96398399999998</v>
      </c>
      <c r="L51">
        <v>2100</v>
      </c>
      <c r="N51" s="90">
        <f>SUM(E$5:E51)</f>
        <v>549428</v>
      </c>
      <c r="O51" s="111">
        <f>SUM(J$5:J51)</f>
        <v>95515.489512</v>
      </c>
      <c r="P51" s="111">
        <f>SUM(K$5:K51)</f>
        <v>10612.832167999995</v>
      </c>
      <c r="Q51" s="109">
        <f>SUM(L$5:L51)</f>
        <v>95322</v>
      </c>
      <c r="R51" t="s">
        <v>145</v>
      </c>
      <c r="S51" s="86">
        <v>45911</v>
      </c>
    </row>
    <row r="52" spans="1:20" ht="16" thickBot="1" x14ac:dyDescent="0.25">
      <c r="A52" s="133" t="s">
        <v>19</v>
      </c>
      <c r="B52" s="134">
        <v>45894</v>
      </c>
      <c r="C52" s="134">
        <v>45924</v>
      </c>
      <c r="D52" s="135">
        <v>18000</v>
      </c>
      <c r="E52" s="135">
        <f t="shared" si="117"/>
        <v>17100</v>
      </c>
      <c r="F52" s="136">
        <v>0.18398</v>
      </c>
      <c r="G52" s="137">
        <v>0.02</v>
      </c>
      <c r="H52" s="137">
        <f t="shared" ref="H52" si="152">F52+G52</f>
        <v>0.20397999999999999</v>
      </c>
      <c r="I52" s="138">
        <f t="shared" ref="I52" si="153">E52*(F52+G52)</f>
        <v>3488.058</v>
      </c>
      <c r="J52" s="138">
        <f t="shared" ref="J52" si="154">I52*G$2</f>
        <v>3139.2521999999999</v>
      </c>
      <c r="K52" s="138">
        <f t="shared" ref="K52" si="155">I52-J52</f>
        <v>348.80580000000009</v>
      </c>
      <c r="L52" s="137">
        <v>2100</v>
      </c>
      <c r="M52" s="137"/>
      <c r="N52" s="139">
        <f>SUM(E$5:E52)</f>
        <v>566528</v>
      </c>
      <c r="O52" s="140">
        <f>SUM(J$5:J52)</f>
        <v>98654.741712000003</v>
      </c>
      <c r="P52" s="140">
        <f>SUM(K$5:K52)</f>
        <v>10961.637967999995</v>
      </c>
      <c r="Q52" s="135">
        <f>SUM(L$5:L52)</f>
        <v>97422</v>
      </c>
      <c r="R52" s="137" t="s">
        <v>146</v>
      </c>
      <c r="S52" s="143">
        <v>45956</v>
      </c>
    </row>
    <row r="53" spans="1:20" x14ac:dyDescent="0.2">
      <c r="A53" s="1" t="s">
        <v>20</v>
      </c>
      <c r="B53" s="76">
        <v>45924</v>
      </c>
      <c r="C53" s="76">
        <v>45954</v>
      </c>
      <c r="D53" s="88">
        <v>15920</v>
      </c>
      <c r="E53" s="109">
        <f t="shared" si="117"/>
        <v>15124</v>
      </c>
      <c r="F53" s="144">
        <v>0.18398</v>
      </c>
      <c r="G53">
        <v>0.02</v>
      </c>
      <c r="H53">
        <f t="shared" ref="H53" si="156">F53+G53</f>
        <v>0.20397999999999999</v>
      </c>
      <c r="I53" s="110">
        <f t="shared" ref="I53:I58" si="157">E53*(F53+G53)</f>
        <v>3084.99352</v>
      </c>
      <c r="J53" s="110">
        <f t="shared" ref="J53:J58" si="158">I53*G$2</f>
        <v>2776.4941680000002</v>
      </c>
      <c r="K53" s="110">
        <f t="shared" ref="K53" si="159">I53-J53</f>
        <v>308.49935199999982</v>
      </c>
      <c r="L53">
        <v>2150</v>
      </c>
      <c r="N53" s="90">
        <f>SUM(E$5:E53)</f>
        <v>581652</v>
      </c>
      <c r="O53" s="111">
        <f>SUM(J$5:J53)</f>
        <v>101431.23588000001</v>
      </c>
      <c r="P53" s="111">
        <f>SUM(K$5:K53)</f>
        <v>11270.137319999994</v>
      </c>
      <c r="Q53" s="109">
        <f>SUM(L$5:L53)</f>
        <v>99572</v>
      </c>
      <c r="R53" t="s">
        <v>155</v>
      </c>
      <c r="S53" s="86">
        <v>45975</v>
      </c>
    </row>
    <row r="54" spans="1:20" x14ac:dyDescent="0.2">
      <c r="A54" s="1" t="s">
        <v>21</v>
      </c>
      <c r="B54" s="76">
        <v>45954</v>
      </c>
      <c r="C54" s="76">
        <v>45982</v>
      </c>
      <c r="D54" s="88">
        <v>6640</v>
      </c>
      <c r="E54" s="109">
        <f t="shared" ref="E54" si="160">+D54*$E$3</f>
        <v>6308</v>
      </c>
      <c r="F54" s="144">
        <v>0.18398</v>
      </c>
      <c r="G54">
        <v>0.02</v>
      </c>
      <c r="H54">
        <f t="shared" ref="H54" si="161">F54+G54</f>
        <v>0.20397999999999999</v>
      </c>
      <c r="I54" s="110">
        <f t="shared" si="157"/>
        <v>1286.7058399999999</v>
      </c>
      <c r="J54" s="110">
        <f t="shared" si="158"/>
        <v>1158.0352559999999</v>
      </c>
      <c r="K54" s="110">
        <f t="shared" ref="K54" si="162">I54-J54</f>
        <v>128.67058399999996</v>
      </c>
      <c r="L54">
        <v>2150</v>
      </c>
      <c r="N54" s="90">
        <f>SUM(E$5:E54)</f>
        <v>587960</v>
      </c>
      <c r="O54" s="111">
        <f>SUM(J$5:J54)</f>
        <v>102589.27113600001</v>
      </c>
      <c r="P54" s="111">
        <f>SUM(K$5:K54)</f>
        <v>11398.807903999994</v>
      </c>
      <c r="Q54" s="109">
        <f>SUM(L$5:L54)</f>
        <v>101722</v>
      </c>
      <c r="R54" t="s">
        <v>156</v>
      </c>
      <c r="S54" s="86">
        <v>46005</v>
      </c>
    </row>
    <row r="55" spans="1:20" x14ac:dyDescent="0.2">
      <c r="A55" s="1" t="s">
        <v>22</v>
      </c>
      <c r="B55" s="76">
        <v>45982</v>
      </c>
      <c r="C55" s="76">
        <v>46013</v>
      </c>
      <c r="D55" s="88">
        <v>2880</v>
      </c>
      <c r="E55" s="109">
        <f t="shared" ref="E55" si="163">+D55*$E$3</f>
        <v>2736</v>
      </c>
      <c r="F55" s="144">
        <v>0.18398</v>
      </c>
      <c r="G55">
        <v>0.02</v>
      </c>
      <c r="H55">
        <f t="shared" ref="H55" si="164">F55+G55</f>
        <v>0.20397999999999999</v>
      </c>
      <c r="I55" s="110">
        <f t="shared" si="157"/>
        <v>558.08928000000003</v>
      </c>
      <c r="J55" s="110">
        <f t="shared" si="158"/>
        <v>502.28035200000005</v>
      </c>
      <c r="K55" s="110">
        <f t="shared" ref="K55" si="165">I55-J55</f>
        <v>55.80892799999998</v>
      </c>
      <c r="L55">
        <v>2150</v>
      </c>
      <c r="N55" s="90">
        <f>SUM(E$5:E55)</f>
        <v>590696</v>
      </c>
      <c r="O55" s="111">
        <f>SUM(J$5:J55)</f>
        <v>103091.55148800001</v>
      </c>
      <c r="P55" s="111">
        <f>SUM(K$5:K55)</f>
        <v>11454.616831999994</v>
      </c>
      <c r="Q55" s="109">
        <f>SUM(L$5:L55)</f>
        <v>103872</v>
      </c>
      <c r="R55" t="s">
        <v>159</v>
      </c>
      <c r="S55" s="86">
        <v>46043</v>
      </c>
    </row>
    <row r="56" spans="1:20" x14ac:dyDescent="0.2">
      <c r="A56" s="1" t="s">
        <v>23</v>
      </c>
      <c r="B56" s="76">
        <v>46013</v>
      </c>
      <c r="C56" s="76">
        <v>46043</v>
      </c>
      <c r="D56" s="88">
        <v>1360</v>
      </c>
      <c r="E56" s="109">
        <f t="shared" ref="E56:E60" si="166">+D56*$E$3</f>
        <v>1292</v>
      </c>
      <c r="F56" s="144">
        <v>0.18398</v>
      </c>
      <c r="G56">
        <v>0.02</v>
      </c>
      <c r="H56">
        <f t="shared" ref="H56" si="167">F56+G56</f>
        <v>0.20397999999999999</v>
      </c>
      <c r="I56" s="110">
        <f t="shared" si="157"/>
        <v>263.54215999999997</v>
      </c>
      <c r="J56" s="110">
        <f t="shared" si="158"/>
        <v>237.18794399999999</v>
      </c>
      <c r="K56" s="110">
        <f t="shared" ref="K56" si="168">I56-J56</f>
        <v>26.35421599999998</v>
      </c>
      <c r="L56">
        <v>2150</v>
      </c>
      <c r="N56" s="90">
        <f>SUM(E$5:E56)</f>
        <v>591988</v>
      </c>
      <c r="O56" s="111">
        <f>SUM(J$5:J56)</f>
        <v>103328.73943200002</v>
      </c>
      <c r="P56" s="111">
        <f>SUM(K$5:K56)</f>
        <v>11480.971047999994</v>
      </c>
      <c r="Q56" s="109">
        <f>SUM(L$5:L56)</f>
        <v>106022</v>
      </c>
      <c r="R56" t="s">
        <v>161</v>
      </c>
      <c r="S56" s="86">
        <v>46067</v>
      </c>
    </row>
    <row r="57" spans="1:20" x14ac:dyDescent="0.2">
      <c r="A57" s="1" t="s">
        <v>24</v>
      </c>
      <c r="B57" s="76">
        <v>46043</v>
      </c>
      <c r="C57" s="76">
        <v>46073</v>
      </c>
      <c r="D57" s="88">
        <v>1600</v>
      </c>
      <c r="E57" s="109">
        <f t="shared" si="166"/>
        <v>1520</v>
      </c>
      <c r="F57" s="144">
        <v>0.18398</v>
      </c>
      <c r="G57">
        <v>0.02</v>
      </c>
      <c r="H57">
        <f t="shared" ref="H57" si="169">F57+G57</f>
        <v>0.20397999999999999</v>
      </c>
      <c r="I57" s="110">
        <f t="shared" si="157"/>
        <v>310.0496</v>
      </c>
      <c r="J57" s="110">
        <f t="shared" si="158"/>
        <v>279.04464000000002</v>
      </c>
      <c r="K57" s="110">
        <f t="shared" ref="K57" si="170">I57-J57</f>
        <v>31.004959999999983</v>
      </c>
      <c r="L57">
        <v>2150</v>
      </c>
      <c r="N57" s="90">
        <f>SUM(E$5:E57)</f>
        <v>593508</v>
      </c>
      <c r="O57" s="111">
        <f>SUM(J$5:J57)</f>
        <v>103607.78407200001</v>
      </c>
      <c r="P57" s="111">
        <f>SUM(K$5:K57)</f>
        <v>11511.976007999994</v>
      </c>
      <c r="Q57" s="109">
        <f>SUM(L$5:L57)</f>
        <v>108172</v>
      </c>
      <c r="R57" t="s">
        <v>162</v>
      </c>
      <c r="S57" s="86">
        <v>46100</v>
      </c>
      <c r="T57" t="s">
        <v>163</v>
      </c>
    </row>
    <row r="58" spans="1:20" x14ac:dyDescent="0.2">
      <c r="A58" s="1" t="s">
        <v>8</v>
      </c>
      <c r="B58" s="76">
        <v>46073</v>
      </c>
      <c r="C58" s="76">
        <v>46105</v>
      </c>
      <c r="D58" s="88">
        <v>11120</v>
      </c>
      <c r="E58" s="109">
        <f t="shared" si="166"/>
        <v>10564</v>
      </c>
      <c r="F58" s="144">
        <v>0.18398</v>
      </c>
      <c r="G58">
        <v>0.02</v>
      </c>
      <c r="H58">
        <f t="shared" ref="H58" si="171">F58+G58</f>
        <v>0.20397999999999999</v>
      </c>
      <c r="I58" s="110">
        <f t="shared" si="157"/>
        <v>2154.8447200000001</v>
      </c>
      <c r="J58" s="110">
        <f t="shared" si="158"/>
        <v>1939.3602480000002</v>
      </c>
      <c r="K58" s="110">
        <f t="shared" ref="K58" si="172">I58-J58</f>
        <v>215.48447199999987</v>
      </c>
      <c r="L58">
        <v>2150</v>
      </c>
      <c r="N58" s="90">
        <f>SUM(E$5:E58)</f>
        <v>604072</v>
      </c>
      <c r="O58" s="111">
        <f>SUM(J$5:J58)</f>
        <v>105547.14432000001</v>
      </c>
      <c r="P58" s="111">
        <f>SUM(K$5:K58)</f>
        <v>11727.460479999994</v>
      </c>
      <c r="Q58" s="109">
        <f>SUM(L$5:L58)</f>
        <v>110322</v>
      </c>
      <c r="R58" t="s">
        <v>164</v>
      </c>
      <c r="S58" s="86">
        <v>46122</v>
      </c>
    </row>
    <row r="59" spans="1:20" x14ac:dyDescent="0.2">
      <c r="A59" s="1" t="s">
        <v>7</v>
      </c>
      <c r="B59" s="76">
        <v>46105</v>
      </c>
      <c r="C59" s="76">
        <v>46136</v>
      </c>
      <c r="D59" s="88">
        <v>15280</v>
      </c>
      <c r="E59" s="109">
        <f t="shared" si="166"/>
        <v>14516</v>
      </c>
      <c r="F59" s="144">
        <v>0.18398</v>
      </c>
      <c r="G59">
        <v>0.02</v>
      </c>
      <c r="H59">
        <f t="shared" ref="H59" si="173">F59+G59</f>
        <v>0.20397999999999999</v>
      </c>
      <c r="I59" s="110">
        <f t="shared" ref="I59" si="174">E59*(F59+G59)</f>
        <v>2960.9736800000001</v>
      </c>
      <c r="J59" s="110">
        <f t="shared" ref="J59" si="175">I59*G$2</f>
        <v>2664.8763120000003</v>
      </c>
      <c r="K59" s="110">
        <f t="shared" ref="K59" si="176">I59-J59</f>
        <v>296.09736799999973</v>
      </c>
      <c r="L59">
        <v>2150</v>
      </c>
      <c r="N59" s="90">
        <f>SUM(E$5:E59)</f>
        <v>618588</v>
      </c>
      <c r="O59" s="111">
        <f>SUM(J$5:J59)</f>
        <v>108212.020632</v>
      </c>
      <c r="P59" s="111">
        <f>SUM(K$5:K59)</f>
        <v>12023.557847999993</v>
      </c>
      <c r="Q59" s="109">
        <f>SUM(L$5:L59)</f>
        <v>112472</v>
      </c>
      <c r="R59" t="s">
        <v>165</v>
      </c>
      <c r="S59" s="86">
        <v>46169</v>
      </c>
    </row>
    <row r="60" spans="1:20" x14ac:dyDescent="0.2">
      <c r="A60" s="1" t="s">
        <v>14</v>
      </c>
      <c r="B60" s="76">
        <v>46136</v>
      </c>
      <c r="C60" s="76">
        <v>46168</v>
      </c>
      <c r="D60" s="88">
        <v>18160</v>
      </c>
      <c r="E60" s="109">
        <f t="shared" si="166"/>
        <v>17252</v>
      </c>
      <c r="F60" s="144">
        <v>0.18398</v>
      </c>
      <c r="G60">
        <v>0.02</v>
      </c>
      <c r="H60">
        <f t="shared" ref="H60" si="177">F60+G60</f>
        <v>0.20397999999999999</v>
      </c>
      <c r="I60" s="110">
        <f t="shared" ref="I60" si="178">E60*(F60+G60)</f>
        <v>3519.0629599999997</v>
      </c>
      <c r="J60" s="110">
        <f t="shared" ref="J60" si="179">I60*G$2</f>
        <v>3167.1566639999996</v>
      </c>
      <c r="K60" s="110">
        <f t="shared" ref="K60" si="180">I60-J60</f>
        <v>351.90629600000011</v>
      </c>
      <c r="L60">
        <v>2150</v>
      </c>
      <c r="N60" s="90">
        <f>SUM(E$5:E60)</f>
        <v>635840</v>
      </c>
      <c r="O60" s="111">
        <f>SUM(J$5:J60)</f>
        <v>111379.17729599999</v>
      </c>
      <c r="P60" s="111">
        <f>SUM(K$5:K60)</f>
        <v>12375.464143999994</v>
      </c>
      <c r="Q60" s="109">
        <f>SUM(L$5:L60)</f>
        <v>114622</v>
      </c>
      <c r="R60" t="s">
        <v>166</v>
      </c>
    </row>
    <row r="61" spans="1:20" x14ac:dyDescent="0.2">
      <c r="B61" s="76"/>
    </row>
    <row r="62" spans="1:20" x14ac:dyDescent="0.2">
      <c r="B62" s="76"/>
    </row>
  </sheetData>
  <pageMargins left="0.7" right="0.7" top="0.75" bottom="0.75" header="0.3" footer="0.3"/>
  <pageSetup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F5A05-35EC-9749-ADBA-C529A95FFABD}">
  <sheetPr>
    <tabColor theme="9" tint="-0.249977111117893"/>
    <pageSetUpPr fitToPage="1"/>
  </sheetPr>
  <dimension ref="B1:N48"/>
  <sheetViews>
    <sheetView topLeftCell="A7" zoomScale="106" workbookViewId="0">
      <selection activeCell="C27" sqref="C27"/>
    </sheetView>
  </sheetViews>
  <sheetFormatPr baseColWidth="10" defaultColWidth="10.83203125" defaultRowHeight="21" x14ac:dyDescent="0.25"/>
  <cols>
    <col min="3" max="3" width="35" style="23" customWidth="1"/>
    <col min="4" max="4" width="4.5" style="23" customWidth="1"/>
    <col min="5" max="5" width="15.5" style="24" customWidth="1"/>
    <col min="6" max="6" width="3.6640625" style="24" customWidth="1"/>
    <col min="7" max="7" width="17.6640625" style="23" customWidth="1"/>
    <col min="8" max="8" width="16" style="23" customWidth="1"/>
    <col min="9" max="9" width="10.83203125" style="23"/>
    <col min="13" max="14" width="17.83203125" customWidth="1"/>
  </cols>
  <sheetData>
    <row r="1" spans="2:14" x14ac:dyDescent="0.25">
      <c r="B1" s="20"/>
      <c r="C1" s="29"/>
      <c r="D1" s="29"/>
      <c r="E1" s="30"/>
      <c r="F1" s="30"/>
      <c r="G1" s="29"/>
      <c r="H1" s="29"/>
      <c r="I1" s="39"/>
    </row>
    <row r="2" spans="2:14" x14ac:dyDescent="0.25">
      <c r="B2" s="21"/>
      <c r="I2" s="40"/>
    </row>
    <row r="3" spans="2:14" ht="22" x14ac:dyDescent="0.3">
      <c r="B3" s="21"/>
      <c r="C3" s="31" t="s">
        <v>40</v>
      </c>
      <c r="D3" s="31"/>
      <c r="E3" s="27"/>
      <c r="F3" s="27"/>
      <c r="G3" s="25"/>
      <c r="H3" s="25"/>
      <c r="I3" s="41"/>
    </row>
    <row r="4" spans="2:14" ht="22" x14ac:dyDescent="0.3">
      <c r="B4" s="21"/>
      <c r="C4" s="25"/>
      <c r="D4" s="25"/>
      <c r="E4" s="27"/>
      <c r="F4" s="27"/>
      <c r="G4" s="25"/>
      <c r="H4" s="25"/>
      <c r="I4" s="41"/>
    </row>
    <row r="5" spans="2:14" ht="22" x14ac:dyDescent="0.3">
      <c r="B5" s="21"/>
      <c r="C5" s="25" t="s">
        <v>37</v>
      </c>
      <c r="D5" s="25"/>
      <c r="E5" s="27"/>
      <c r="F5" s="27"/>
      <c r="G5" s="25" t="s">
        <v>39</v>
      </c>
      <c r="H5" s="25"/>
      <c r="I5" s="41"/>
    </row>
    <row r="6" spans="2:14" ht="22" x14ac:dyDescent="0.3">
      <c r="B6" s="21"/>
      <c r="C6" s="25" t="s">
        <v>38</v>
      </c>
      <c r="D6" s="25"/>
      <c r="E6" s="27"/>
      <c r="F6" s="27"/>
      <c r="G6" s="25" t="s">
        <v>64</v>
      </c>
      <c r="H6" s="25"/>
      <c r="I6" s="41"/>
      <c r="N6" s="98"/>
    </row>
    <row r="7" spans="2:14" ht="24" x14ac:dyDescent="0.3">
      <c r="B7" s="21"/>
      <c r="C7" s="25" t="s">
        <v>67</v>
      </c>
      <c r="D7" s="25"/>
      <c r="E7" s="27"/>
      <c r="F7" s="27"/>
      <c r="G7" s="25" t="s">
        <v>125</v>
      </c>
      <c r="H7" s="25"/>
      <c r="I7" s="41"/>
      <c r="M7" s="99" t="s">
        <v>83</v>
      </c>
      <c r="N7" s="99">
        <v>60</v>
      </c>
    </row>
    <row r="8" spans="2:14" ht="22" x14ac:dyDescent="0.3">
      <c r="B8" s="21"/>
      <c r="C8" s="25"/>
      <c r="D8" s="25"/>
      <c r="E8" s="27"/>
      <c r="F8" s="27"/>
      <c r="G8" s="25"/>
      <c r="H8" s="25"/>
      <c r="I8" s="41"/>
    </row>
    <row r="9" spans="2:14" ht="22" x14ac:dyDescent="0.3">
      <c r="B9" s="21"/>
      <c r="C9" s="25"/>
      <c r="D9" s="25"/>
      <c r="E9" s="27"/>
      <c r="F9" s="27"/>
      <c r="G9" s="25"/>
      <c r="H9" s="25"/>
      <c r="I9" s="41"/>
    </row>
    <row r="10" spans="2:14" ht="22" x14ac:dyDescent="0.3">
      <c r="B10" s="21"/>
      <c r="C10" s="25" t="s">
        <v>160</v>
      </c>
      <c r="D10" s="25"/>
      <c r="E10" s="27"/>
      <c r="F10" s="27"/>
      <c r="G10" s="25"/>
      <c r="H10" s="25"/>
      <c r="I10" s="41"/>
      <c r="M10" s="98"/>
    </row>
    <row r="11" spans="2:14" ht="22" x14ac:dyDescent="0.3">
      <c r="B11" s="21"/>
      <c r="C11" s="25" t="s">
        <v>47</v>
      </c>
      <c r="D11" s="25"/>
      <c r="E11" s="27" t="str" cm="1">
        <f t="array" aca="1" ref="E11" ca="1">+INDIRECT(ADDRESS(N7,18,,,"Valley Cares Data"))</f>
        <v>2026-05</v>
      </c>
      <c r="F11" s="27"/>
      <c r="G11" s="25"/>
      <c r="H11" s="25"/>
      <c r="I11" s="41"/>
    </row>
    <row r="12" spans="2:14" ht="22" x14ac:dyDescent="0.3">
      <c r="B12" s="21"/>
      <c r="C12" s="25" t="s">
        <v>48</v>
      </c>
      <c r="D12" s="25"/>
      <c r="E12" s="26">
        <f ca="1">TODAY()</f>
        <v>46172</v>
      </c>
      <c r="F12" s="26"/>
      <c r="G12" s="25"/>
      <c r="H12" s="25"/>
      <c r="I12" s="41"/>
    </row>
    <row r="13" spans="2:14" ht="22" x14ac:dyDescent="0.3">
      <c r="B13" s="21"/>
      <c r="C13" s="25" t="s">
        <v>44</v>
      </c>
      <c r="D13" s="25"/>
      <c r="E13" s="26">
        <f ca="1">+E12+28</f>
        <v>46200</v>
      </c>
      <c r="F13" s="32"/>
      <c r="G13" s="25"/>
      <c r="H13" s="25"/>
      <c r="I13" s="41"/>
    </row>
    <row r="14" spans="2:14" ht="22" x14ac:dyDescent="0.3">
      <c r="B14" s="21"/>
      <c r="C14" s="25"/>
      <c r="D14" s="25"/>
      <c r="E14" s="32"/>
      <c r="F14" s="32"/>
      <c r="G14" s="25"/>
      <c r="H14" s="25"/>
      <c r="I14" s="41"/>
    </row>
    <row r="15" spans="2:14" ht="22" x14ac:dyDescent="0.3">
      <c r="B15" s="21"/>
      <c r="C15" s="31" t="s">
        <v>62</v>
      </c>
      <c r="D15" s="25"/>
      <c r="E15" s="27" t="s">
        <v>41</v>
      </c>
      <c r="F15" s="27"/>
      <c r="G15" s="27" t="s">
        <v>42</v>
      </c>
      <c r="H15" s="25"/>
      <c r="I15" s="41"/>
    </row>
    <row r="16" spans="2:14" ht="22" x14ac:dyDescent="0.3">
      <c r="B16" s="21"/>
      <c r="C16" s="25" t="s">
        <v>43</v>
      </c>
      <c r="D16" s="25"/>
      <c r="E16" s="36" cm="1">
        <f t="array" aca="1" ref="E16" ca="1">INDIRECT(ADDRESS(N7,2,,,"Valley Cares Data"))</f>
        <v>46136</v>
      </c>
      <c r="F16" s="26"/>
      <c r="G16" s="36" cm="1">
        <f t="array" aca="1" ref="G16" ca="1">INDIRECT(ADDRESS(N7,3,,,"Valley Cares Data"))</f>
        <v>46168</v>
      </c>
      <c r="H16" s="25"/>
      <c r="I16" s="41"/>
    </row>
    <row r="17" spans="2:13" ht="22" x14ac:dyDescent="0.3">
      <c r="B17" s="21"/>
      <c r="C17" s="25"/>
      <c r="D17" s="25"/>
      <c r="E17" s="36"/>
      <c r="F17" s="26"/>
      <c r="G17" s="36"/>
      <c r="H17" s="25"/>
      <c r="I17" s="41"/>
    </row>
    <row r="18" spans="2:13" ht="22" x14ac:dyDescent="0.3">
      <c r="B18" s="21"/>
      <c r="C18" s="125" t="s">
        <v>149</v>
      </c>
      <c r="D18" s="125"/>
      <c r="E18" s="126"/>
      <c r="F18" s="126"/>
      <c r="G18" s="127"/>
      <c r="H18" s="25"/>
      <c r="I18" s="41"/>
    </row>
    <row r="19" spans="2:13" ht="22" x14ac:dyDescent="0.3">
      <c r="B19" s="21"/>
      <c r="C19" s="125" t="s">
        <v>150</v>
      </c>
      <c r="D19" s="125"/>
      <c r="E19" s="128"/>
      <c r="F19" s="129"/>
      <c r="G19" s="4" cm="1">
        <f t="array" aca="1" ref="G19" ca="1">INDIRECT(ADDRESS(N7,5,,,"Valley Cares Data"))</f>
        <v>17252</v>
      </c>
      <c r="H19" s="25"/>
      <c r="I19" s="41"/>
    </row>
    <row r="20" spans="2:13" ht="22" x14ac:dyDescent="0.3">
      <c r="B20" s="21"/>
      <c r="C20" s="125" t="s">
        <v>151</v>
      </c>
      <c r="D20" s="125"/>
      <c r="E20" s="128"/>
      <c r="F20" s="130"/>
      <c r="G20" s="130" cm="1">
        <f t="array" aca="1" ref="G20" ca="1">INDIRECT(ADDRESS(N7,9,,,"Valley Cares Data"))</f>
        <v>3519.0629599999997</v>
      </c>
      <c r="H20" s="25"/>
      <c r="I20" s="41"/>
    </row>
    <row r="21" spans="2:13" ht="22" x14ac:dyDescent="0.3">
      <c r="B21" s="21"/>
      <c r="C21" s="125" t="s">
        <v>152</v>
      </c>
      <c r="D21" s="125"/>
      <c r="E21" s="128"/>
      <c r="F21" s="131"/>
      <c r="G21" s="130" cm="1">
        <f t="array" aca="1" ref="G21" ca="1">INDIRECT(ADDRESS(N7,10,,,"Valley Cares Data"))</f>
        <v>3167.1566639999996</v>
      </c>
      <c r="H21" s="25"/>
      <c r="I21" s="41"/>
    </row>
    <row r="22" spans="2:13" ht="22" x14ac:dyDescent="0.3">
      <c r="B22" s="21"/>
      <c r="C22" s="125" t="s">
        <v>153</v>
      </c>
      <c r="D22" s="125"/>
      <c r="E22" s="128"/>
      <c r="F22" s="130"/>
      <c r="G22" s="130" cm="1">
        <f t="array" aca="1" ref="G22" ca="1">INDIRECT(ADDRESS(N7,11,,,"Valley Cares Data"))</f>
        <v>351.90629600000011</v>
      </c>
      <c r="H22" s="25"/>
      <c r="I22" s="41"/>
    </row>
    <row r="23" spans="2:13" ht="22" x14ac:dyDescent="0.3">
      <c r="B23" s="21"/>
      <c r="C23" s="25"/>
      <c r="D23" s="25"/>
      <c r="E23" s="36"/>
      <c r="F23" s="26"/>
      <c r="G23" s="36"/>
      <c r="H23" s="25"/>
      <c r="I23" s="41"/>
    </row>
    <row r="24" spans="2:13" ht="22" x14ac:dyDescent="0.3">
      <c r="B24" s="21"/>
      <c r="C24" s="25" t="s">
        <v>167</v>
      </c>
      <c r="D24" s="25"/>
      <c r="E24" s="26"/>
      <c r="F24" s="26"/>
      <c r="G24" s="26"/>
      <c r="H24" s="27"/>
      <c r="I24" s="41"/>
    </row>
    <row r="25" spans="2:13" ht="22" x14ac:dyDescent="0.3">
      <c r="B25" s="21"/>
      <c r="C25" s="25" t="s">
        <v>168</v>
      </c>
      <c r="D25" s="25"/>
      <c r="E25" s="26"/>
      <c r="F25" s="26"/>
      <c r="G25" s="44"/>
      <c r="H25" s="44"/>
      <c r="I25" s="41"/>
    </row>
    <row r="26" spans="2:13" ht="22" x14ac:dyDescent="0.3">
      <c r="B26" s="21"/>
      <c r="C26" s="25" t="s">
        <v>133</v>
      </c>
      <c r="D26" s="25"/>
      <c r="E26" s="132">
        <v>2150</v>
      </c>
      <c r="F26" s="26"/>
      <c r="G26" s="45"/>
      <c r="H26" s="45"/>
      <c r="I26" s="41"/>
    </row>
    <row r="27" spans="2:13" ht="22" x14ac:dyDescent="0.3">
      <c r="B27" s="21"/>
      <c r="C27" s="25"/>
      <c r="D27" s="25"/>
      <c r="E27" s="26"/>
      <c r="F27" s="26"/>
      <c r="G27" s="45"/>
      <c r="H27" s="45"/>
      <c r="I27" s="41"/>
    </row>
    <row r="28" spans="2:13" ht="22" x14ac:dyDescent="0.3">
      <c r="B28" s="21"/>
      <c r="C28" s="25"/>
      <c r="D28" s="25"/>
      <c r="E28" s="132"/>
      <c r="F28" s="26"/>
      <c r="G28" s="45"/>
      <c r="H28" s="45"/>
      <c r="I28" s="41"/>
    </row>
    <row r="29" spans="2:13" ht="22" x14ac:dyDescent="0.3">
      <c r="B29" s="21"/>
      <c r="C29" s="31" t="s">
        <v>157</v>
      </c>
      <c r="D29" s="25"/>
      <c r="E29" s="145">
        <v>2150</v>
      </c>
      <c r="F29" s="26"/>
      <c r="G29" s="45"/>
      <c r="H29" s="45"/>
      <c r="I29" s="41"/>
      <c r="M29">
        <f>2000-158.66</f>
        <v>1841.34</v>
      </c>
    </row>
    <row r="30" spans="2:13" ht="22" x14ac:dyDescent="0.3">
      <c r="B30" s="21"/>
      <c r="C30" s="25"/>
      <c r="D30" s="25"/>
      <c r="E30" s="26"/>
      <c r="F30" s="26"/>
      <c r="G30" s="45"/>
      <c r="H30" s="45"/>
      <c r="I30" s="41"/>
    </row>
    <row r="31" spans="2:13" s="6" customFormat="1" ht="22" x14ac:dyDescent="0.3">
      <c r="B31" s="46"/>
      <c r="C31" s="47"/>
      <c r="D31" s="47"/>
      <c r="E31" s="48"/>
      <c r="F31" s="48"/>
      <c r="G31" s="49"/>
      <c r="H31" s="47"/>
      <c r="I31" s="50"/>
    </row>
    <row r="32" spans="2:13" ht="22" x14ac:dyDescent="0.3">
      <c r="B32" s="21"/>
      <c r="C32" s="31"/>
      <c r="D32" s="31"/>
      <c r="E32" s="37"/>
      <c r="F32" s="38"/>
      <c r="G32" s="38"/>
      <c r="H32" s="25"/>
      <c r="I32" s="41"/>
    </row>
    <row r="33" spans="2:9" ht="22" x14ac:dyDescent="0.3">
      <c r="B33" s="21"/>
      <c r="C33" s="33" t="s">
        <v>45</v>
      </c>
      <c r="D33" s="25"/>
      <c r="E33" s="27"/>
      <c r="F33" s="27"/>
      <c r="G33" s="25"/>
      <c r="H33" s="25"/>
      <c r="I33" s="41"/>
    </row>
    <row r="34" spans="2:9" ht="22" x14ac:dyDescent="0.3">
      <c r="B34" s="21"/>
      <c r="C34" s="25"/>
      <c r="D34" s="25"/>
      <c r="E34" s="26"/>
      <c r="F34" s="26"/>
      <c r="G34" s="36"/>
      <c r="H34" s="25"/>
      <c r="I34" s="41"/>
    </row>
    <row r="35" spans="2:9" ht="22" x14ac:dyDescent="0.3">
      <c r="B35" s="21"/>
      <c r="C35" s="33" t="s">
        <v>63</v>
      </c>
      <c r="D35" s="33"/>
      <c r="E35" s="77"/>
      <c r="F35" s="77"/>
      <c r="G35" s="78"/>
      <c r="H35" s="25"/>
      <c r="I35" s="41"/>
    </row>
    <row r="36" spans="2:9" ht="22" x14ac:dyDescent="0.3">
      <c r="B36" s="21"/>
      <c r="C36" s="33"/>
      <c r="D36" s="33"/>
      <c r="E36" s="79"/>
      <c r="F36" s="80"/>
      <c r="G36" s="4"/>
      <c r="H36" s="25"/>
      <c r="I36" s="41"/>
    </row>
    <row r="37" spans="2:9" ht="22" x14ac:dyDescent="0.3">
      <c r="B37" s="21"/>
      <c r="C37" s="33"/>
      <c r="D37" s="33"/>
      <c r="E37" s="79"/>
      <c r="F37" s="81"/>
      <c r="G37" s="82"/>
      <c r="H37" s="25"/>
      <c r="I37" s="41"/>
    </row>
    <row r="38" spans="2:9" ht="22" x14ac:dyDescent="0.3">
      <c r="B38" s="21"/>
      <c r="C38" s="33"/>
      <c r="D38" s="33"/>
      <c r="E38" s="79"/>
      <c r="F38" s="83"/>
      <c r="G38" s="82"/>
      <c r="H38" s="25"/>
      <c r="I38" s="41"/>
    </row>
    <row r="39" spans="2:9" ht="22" x14ac:dyDescent="0.3">
      <c r="B39" s="21"/>
      <c r="C39" s="33"/>
      <c r="D39" s="33"/>
      <c r="E39" s="79"/>
      <c r="F39" s="82"/>
      <c r="G39" s="82"/>
      <c r="H39" s="25"/>
      <c r="I39" s="41"/>
    </row>
    <row r="40" spans="2:9" ht="22" x14ac:dyDescent="0.3">
      <c r="B40" s="21"/>
      <c r="C40" s="33"/>
      <c r="D40" s="33"/>
      <c r="E40" s="79"/>
      <c r="F40" s="83"/>
      <c r="G40" s="82"/>
      <c r="H40" s="25"/>
      <c r="I40" s="41"/>
    </row>
    <row r="41" spans="2:9" ht="22" x14ac:dyDescent="0.3">
      <c r="B41" s="21"/>
      <c r="C41" s="33"/>
      <c r="D41" s="33"/>
      <c r="E41" s="79"/>
      <c r="F41" s="82"/>
      <c r="G41" s="82"/>
      <c r="H41" s="25"/>
      <c r="I41" s="41"/>
    </row>
    <row r="42" spans="2:9" ht="22" x14ac:dyDescent="0.3">
      <c r="B42" s="21"/>
      <c r="C42" s="25"/>
      <c r="D42" s="25"/>
      <c r="F42" s="28"/>
      <c r="G42" s="28"/>
      <c r="H42" s="25"/>
      <c r="I42" s="41"/>
    </row>
    <row r="43" spans="2:9" ht="22" x14ac:dyDescent="0.3">
      <c r="B43" s="21"/>
      <c r="C43" s="33"/>
      <c r="D43" s="33"/>
      <c r="E43" s="77"/>
      <c r="F43" s="77"/>
      <c r="G43" s="78"/>
      <c r="H43" s="25"/>
      <c r="I43" s="41"/>
    </row>
    <row r="44" spans="2:9" x14ac:dyDescent="0.25">
      <c r="B44" s="21"/>
      <c r="C44" s="33"/>
      <c r="D44" s="33"/>
      <c r="E44" s="79"/>
      <c r="F44" s="80"/>
      <c r="G44" s="4"/>
      <c r="I44" s="40"/>
    </row>
    <row r="45" spans="2:9" x14ac:dyDescent="0.25">
      <c r="B45" s="21"/>
      <c r="C45" s="33"/>
      <c r="D45" s="33"/>
      <c r="E45" s="79"/>
      <c r="F45" s="81"/>
      <c r="G45" s="82"/>
      <c r="I45" s="40"/>
    </row>
    <row r="46" spans="2:9" x14ac:dyDescent="0.25">
      <c r="B46" s="21"/>
      <c r="I46" s="40"/>
    </row>
    <row r="47" spans="2:9" x14ac:dyDescent="0.25">
      <c r="B47" s="21"/>
      <c r="I47" s="40"/>
    </row>
    <row r="48" spans="2:9" ht="22" thickBot="1" x14ac:dyDescent="0.3">
      <c r="B48" s="22"/>
      <c r="C48" s="42" t="s">
        <v>68</v>
      </c>
      <c r="D48" s="34"/>
      <c r="E48" s="35"/>
      <c r="F48" s="35"/>
      <c r="G48" s="34"/>
      <c r="H48" s="34"/>
      <c r="I48" s="43"/>
    </row>
  </sheetData>
  <pageMargins left="0.7" right="0.7" top="0.75" bottom="0.75" header="0.3" footer="0.3"/>
  <pageSetup scale="6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800A4-A009-054D-8556-4BA34F402BB5}">
  <sheetPr>
    <pageSetUpPr fitToPage="1"/>
  </sheetPr>
  <dimension ref="C2:O22"/>
  <sheetViews>
    <sheetView topLeftCell="A4" workbookViewId="0">
      <selection activeCell="K15" sqref="K15"/>
    </sheetView>
  </sheetViews>
  <sheetFormatPr baseColWidth="10" defaultColWidth="10.83203125" defaultRowHeight="22" x14ac:dyDescent="0.3"/>
  <cols>
    <col min="1" max="3" width="10.83203125" style="25"/>
    <col min="4" max="4" width="16.1640625" style="25" customWidth="1"/>
    <col min="5" max="5" width="14.33203125" style="25" customWidth="1"/>
    <col min="6" max="10" width="17.33203125" style="47" customWidth="1"/>
    <col min="11" max="11" width="19.83203125" style="47" customWidth="1"/>
    <col min="12" max="16384" width="10.83203125" style="25"/>
  </cols>
  <sheetData>
    <row r="2" spans="3:15" ht="23" thickBot="1" x14ac:dyDescent="0.35"/>
    <row r="3" spans="3:15" x14ac:dyDescent="0.3">
      <c r="C3" s="53"/>
      <c r="D3" s="54"/>
      <c r="E3" s="54"/>
      <c r="F3" s="55"/>
      <c r="G3" s="55"/>
      <c r="H3" s="55"/>
      <c r="I3" s="55"/>
      <c r="J3" s="55"/>
      <c r="K3" s="56"/>
    </row>
    <row r="4" spans="3:15" x14ac:dyDescent="0.3">
      <c r="C4" s="57" t="s">
        <v>60</v>
      </c>
      <c r="E4" s="27"/>
      <c r="K4" s="50"/>
    </row>
    <row r="5" spans="3:15" x14ac:dyDescent="0.3">
      <c r="C5" s="57" t="s">
        <v>47</v>
      </c>
      <c r="E5" s="27" t="s">
        <v>154</v>
      </c>
      <c r="K5" s="50"/>
    </row>
    <row r="6" spans="3:15" x14ac:dyDescent="0.3">
      <c r="C6" s="57" t="s">
        <v>48</v>
      </c>
      <c r="E6" s="26">
        <v>45930</v>
      </c>
      <c r="K6" s="50"/>
    </row>
    <row r="7" spans="3:15" x14ac:dyDescent="0.3">
      <c r="C7" s="57" t="s">
        <v>44</v>
      </c>
      <c r="E7" s="36">
        <v>45958</v>
      </c>
      <c r="K7" s="50"/>
    </row>
    <row r="8" spans="3:15" x14ac:dyDescent="0.3">
      <c r="C8" s="57"/>
      <c r="E8" s="26"/>
      <c r="K8" s="50"/>
    </row>
    <row r="9" spans="3:15" x14ac:dyDescent="0.3">
      <c r="C9" s="57" t="s">
        <v>58</v>
      </c>
      <c r="K9" s="50"/>
    </row>
    <row r="10" spans="3:15" ht="69" x14ac:dyDescent="0.3">
      <c r="C10" s="58"/>
      <c r="D10" s="52" t="s">
        <v>41</v>
      </c>
      <c r="E10" s="52" t="s">
        <v>42</v>
      </c>
      <c r="F10" s="51" t="s">
        <v>52</v>
      </c>
      <c r="G10" s="51" t="s">
        <v>53</v>
      </c>
      <c r="H10" s="51" t="s">
        <v>55</v>
      </c>
      <c r="I10" s="51" t="s">
        <v>54</v>
      </c>
      <c r="J10" s="51" t="s">
        <v>56</v>
      </c>
      <c r="K10" s="59" t="s">
        <v>57</v>
      </c>
    </row>
    <row r="11" spans="3:15" ht="24" thickBot="1" x14ac:dyDescent="0.35">
      <c r="C11" s="65" t="s">
        <v>51</v>
      </c>
      <c r="D11" s="66">
        <v>44463</v>
      </c>
      <c r="E11" s="66">
        <v>44830</v>
      </c>
      <c r="F11" s="67">
        <f>+'Valley Cares Data'!U9</f>
        <v>159420.28985507245</v>
      </c>
      <c r="G11" s="67">
        <f>+'Valley Cares Data'!U10</f>
        <v>139712</v>
      </c>
      <c r="H11" s="68">
        <f>+'Valley Cares Data'!U16</f>
        <v>23136.307199999999</v>
      </c>
      <c r="I11" s="68">
        <f>+'Valley Cares Data'!V16</f>
        <v>24222</v>
      </c>
      <c r="J11" s="68">
        <f>+H11-I11</f>
        <v>-1085.6928000000007</v>
      </c>
      <c r="K11" s="69" t="s">
        <v>131</v>
      </c>
      <c r="L11" s="25" t="s">
        <v>80</v>
      </c>
    </row>
    <row r="12" spans="3:15" ht="24" thickBot="1" x14ac:dyDescent="0.35">
      <c r="C12" s="70" t="s">
        <v>59</v>
      </c>
      <c r="D12" s="71">
        <v>44830</v>
      </c>
      <c r="E12" s="71">
        <v>45194</v>
      </c>
      <c r="F12" s="72">
        <v>145680</v>
      </c>
      <c r="G12" s="72">
        <v>138396</v>
      </c>
      <c r="H12" s="68">
        <v>23841.34</v>
      </c>
      <c r="I12" s="73">
        <v>24000</v>
      </c>
      <c r="J12" s="73">
        <f>+H12-I12</f>
        <v>-158.65999999999985</v>
      </c>
      <c r="K12" s="74" t="s">
        <v>130</v>
      </c>
      <c r="M12" s="25" t="s">
        <v>98</v>
      </c>
      <c r="O12" s="25" t="s">
        <v>97</v>
      </c>
    </row>
    <row r="13" spans="3:15" ht="26" customHeight="1" thickBot="1" x14ac:dyDescent="0.35">
      <c r="C13" s="118" t="s">
        <v>129</v>
      </c>
      <c r="D13" s="119">
        <v>45194</v>
      </c>
      <c r="E13" s="119">
        <v>45560</v>
      </c>
      <c r="F13" s="72">
        <v>145680</v>
      </c>
      <c r="G13" s="72">
        <v>145996</v>
      </c>
      <c r="H13" s="120">
        <v>25530.61</v>
      </c>
      <c r="I13" s="121">
        <v>24000</v>
      </c>
      <c r="J13" s="141">
        <f>H13-I13</f>
        <v>1530.6100000000006</v>
      </c>
      <c r="K13" s="124" t="s">
        <v>148</v>
      </c>
    </row>
    <row r="14" spans="3:15" ht="24" thickBot="1" x14ac:dyDescent="0.35">
      <c r="C14" s="118" t="s">
        <v>147</v>
      </c>
      <c r="D14" s="119">
        <v>45560</v>
      </c>
      <c r="E14" s="119">
        <v>45924</v>
      </c>
      <c r="F14" s="122">
        <v>145680</v>
      </c>
      <c r="G14" s="122">
        <v>142424</v>
      </c>
      <c r="H14" s="123">
        <v>26146.48</v>
      </c>
      <c r="I14" s="121">
        <v>25200</v>
      </c>
      <c r="J14" s="142">
        <f>+H14-I14</f>
        <v>946.47999999999956</v>
      </c>
      <c r="K14" s="64" t="s">
        <v>158</v>
      </c>
    </row>
    <row r="15" spans="3:15" x14ac:dyDescent="0.3">
      <c r="C15" s="57"/>
      <c r="I15" s="115"/>
      <c r="K15" s="50"/>
    </row>
    <row r="16" spans="3:15" x14ac:dyDescent="0.3">
      <c r="C16" s="57"/>
      <c r="I16" s="115"/>
      <c r="K16" s="50"/>
    </row>
    <row r="17" spans="3:11" x14ac:dyDescent="0.3">
      <c r="C17" s="57"/>
      <c r="I17" s="115"/>
      <c r="K17" s="50"/>
    </row>
    <row r="18" spans="3:11" x14ac:dyDescent="0.3">
      <c r="C18" s="57"/>
      <c r="I18" s="115"/>
      <c r="K18" s="50"/>
    </row>
    <row r="19" spans="3:11" x14ac:dyDescent="0.3">
      <c r="C19" s="57"/>
      <c r="I19" s="115"/>
      <c r="K19" s="50"/>
    </row>
    <row r="20" spans="3:11" x14ac:dyDescent="0.3">
      <c r="C20" s="60" t="s">
        <v>45</v>
      </c>
      <c r="K20" s="50"/>
    </row>
    <row r="21" spans="3:11" x14ac:dyDescent="0.3">
      <c r="C21" s="57"/>
      <c r="K21" s="50"/>
    </row>
    <row r="22" spans="3:11" ht="23" thickBot="1" x14ac:dyDescent="0.35">
      <c r="C22" s="61" t="s">
        <v>46</v>
      </c>
      <c r="D22" s="62"/>
      <c r="E22" s="62"/>
      <c r="F22" s="63"/>
      <c r="G22" s="63"/>
      <c r="H22" s="63"/>
      <c r="I22" s="63"/>
      <c r="J22" s="63"/>
      <c r="K22" s="64"/>
    </row>
  </sheetData>
  <pageMargins left="0.7" right="0.7" top="0.75" bottom="0.75" header="0.3" footer="0.3"/>
  <pageSetup scale="57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25F78-7C32-0F4E-907C-0C3E4E9EA30A}">
  <dimension ref="A1"/>
  <sheetViews>
    <sheetView workbookViewId="0">
      <selection activeCell="E9" sqref="E9"/>
    </sheetView>
  </sheetViews>
  <sheetFormatPr baseColWidth="10" defaultRowHeight="15" x14ac:dyDescent="0.2"/>
  <sheetData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SAMPLE</vt:lpstr>
      <vt:lpstr>Valley Cares Data</vt:lpstr>
      <vt:lpstr>Valley Cares Template</vt:lpstr>
      <vt:lpstr>Valley Cares Annual True Up</vt:lpstr>
      <vt:lpstr>TTM Trends</vt:lpstr>
      <vt:lpstr>'Valley Cares Annual True Up'!Print_Area</vt:lpstr>
      <vt:lpstr>'Valley Cares Data'!Print_Area</vt:lpstr>
      <vt:lpstr>'Valley Cares Template'!Print_Area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Malley</dc:creator>
  <cp:lastModifiedBy>Colleen Barr</cp:lastModifiedBy>
  <cp:lastPrinted>2026-04-30T16:39:51Z</cp:lastPrinted>
  <dcterms:created xsi:type="dcterms:W3CDTF">2018-03-01T17:41:44Z</dcterms:created>
  <dcterms:modified xsi:type="dcterms:W3CDTF">2026-05-30T22:42:51Z</dcterms:modified>
</cp:coreProperties>
</file>