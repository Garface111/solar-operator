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lleenbarr/Library/Mobile Documents/com~apple~CloudDocs/Solar/2. Norwich Union Village/Customers/Master Invoice Template/Billing Templates/"/>
    </mc:Choice>
  </mc:AlternateContent>
  <xr:revisionPtr revIDLastSave="0" documentId="13_ncr:1_{362B5CCB-CE48-1941-9D1E-127703321B0C}" xr6:coauthVersionLast="47" xr6:coauthVersionMax="47" xr10:uidLastSave="{00000000-0000-0000-0000-000000000000}"/>
  <bookViews>
    <workbookView xWindow="2300" yWindow="500" windowWidth="28800" windowHeight="16260" activeTab="1" xr2:uid="{00000000-000D-0000-FFFF-FFFF00000000}"/>
  </bookViews>
  <sheets>
    <sheet name="NFD" sheetId="2" r:id="rId1"/>
    <sheet name="NFD Template" sheetId="8" r:id="rId2"/>
    <sheet name="TTM Trendline" sheetId="13" r:id="rId3"/>
    <sheet name="NFD Template-old" sheetId="4" r:id="rId4"/>
  </sheets>
  <definedNames>
    <definedName name="_xlnm.Print_Area" localSheetId="1">'NFD Template'!$B$1:$I$36</definedName>
    <definedName name="_xlnm.Print_Area" localSheetId="3">'NFD Template-old'!$B$1:$I$36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85" i="2" l="1"/>
  <c r="J85" i="2"/>
  <c r="K85" i="2" s="1"/>
  <c r="N85" i="2" s="1"/>
  <c r="I85" i="2"/>
  <c r="H85" i="2"/>
  <c r="E85" i="2"/>
  <c r="M84" i="2"/>
  <c r="I84" i="2"/>
  <c r="H84" i="2"/>
  <c r="E84" i="2"/>
  <c r="J84" i="2" l="1"/>
  <c r="K84" i="2" s="1"/>
  <c r="N84" i="2" s="1"/>
  <c r="M83" i="2"/>
  <c r="I83" i="2"/>
  <c r="H83" i="2"/>
  <c r="E83" i="2"/>
  <c r="M82" i="2"/>
  <c r="I82" i="2"/>
  <c r="H82" i="2"/>
  <c r="E82" i="2"/>
  <c r="H81" i="2"/>
  <c r="E81" i="2"/>
  <c r="M81" i="2" s="1"/>
  <c r="M80" i="2"/>
  <c r="H80" i="2"/>
  <c r="E80" i="2"/>
  <c r="I80" i="2" s="1"/>
  <c r="H79" i="2"/>
  <c r="E79" i="2"/>
  <c r="M79" i="2" s="1"/>
  <c r="M78" i="2"/>
  <c r="I78" i="2"/>
  <c r="H78" i="2"/>
  <c r="E78" i="2"/>
  <c r="H77" i="2"/>
  <c r="E77" i="2"/>
  <c r="M77" i="2" s="1"/>
  <c r="F134" i="13"/>
  <c r="F133" i="13"/>
  <c r="F132" i="13"/>
  <c r="F131" i="13"/>
  <c r="F130" i="13"/>
  <c r="F129" i="13"/>
  <c r="F128" i="13"/>
  <c r="F127" i="13"/>
  <c r="F126" i="13"/>
  <c r="F125" i="13"/>
  <c r="F124" i="13"/>
  <c r="F123" i="13"/>
  <c r="F122" i="13"/>
  <c r="F121" i="13"/>
  <c r="F120" i="13"/>
  <c r="F119" i="13"/>
  <c r="F118" i="13"/>
  <c r="F117" i="13"/>
  <c r="F116" i="13"/>
  <c r="F115" i="13"/>
  <c r="F114" i="13"/>
  <c r="F113" i="13"/>
  <c r="F112" i="13"/>
  <c r="F111" i="13"/>
  <c r="F110" i="13"/>
  <c r="F109" i="13"/>
  <c r="F108" i="13"/>
  <c r="F107" i="13"/>
  <c r="F106" i="13"/>
  <c r="F105" i="13"/>
  <c r="F104" i="13"/>
  <c r="F103" i="13"/>
  <c r="F102" i="13"/>
  <c r="F101" i="13"/>
  <c r="F100" i="13"/>
  <c r="F99" i="13"/>
  <c r="F98" i="13"/>
  <c r="F97" i="13"/>
  <c r="F96" i="13"/>
  <c r="F95" i="13"/>
  <c r="F94" i="13"/>
  <c r="F93" i="13"/>
  <c r="F92" i="13"/>
  <c r="F91" i="13"/>
  <c r="F90" i="13"/>
  <c r="F89" i="13"/>
  <c r="F88" i="13"/>
  <c r="F87" i="13"/>
  <c r="F86" i="13"/>
  <c r="F85" i="13"/>
  <c r="F84" i="13"/>
  <c r="F83" i="13"/>
  <c r="F82" i="13"/>
  <c r="F81" i="13"/>
  <c r="F80" i="13"/>
  <c r="F79" i="13"/>
  <c r="F78" i="13"/>
  <c r="F77" i="13"/>
  <c r="F76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E82" i="13"/>
  <c r="E81" i="13"/>
  <c r="E80" i="13"/>
  <c r="E79" i="13"/>
  <c r="E78" i="13"/>
  <c r="E77" i="13"/>
  <c r="E76" i="13"/>
  <c r="D134" i="13"/>
  <c r="D133" i="13"/>
  <c r="D132" i="13"/>
  <c r="D131" i="13"/>
  <c r="D130" i="13"/>
  <c r="D129" i="13"/>
  <c r="D128" i="13"/>
  <c r="D127" i="13"/>
  <c r="D126" i="13"/>
  <c r="D125" i="13"/>
  <c r="D124" i="13"/>
  <c r="D123" i="13"/>
  <c r="D122" i="13"/>
  <c r="D121" i="13"/>
  <c r="D120" i="13"/>
  <c r="D119" i="13"/>
  <c r="D118" i="13"/>
  <c r="D117" i="13"/>
  <c r="D116" i="13"/>
  <c r="D115" i="13"/>
  <c r="D114" i="13"/>
  <c r="D113" i="13"/>
  <c r="D112" i="13"/>
  <c r="D111" i="13"/>
  <c r="D110" i="13"/>
  <c r="D109" i="13"/>
  <c r="D108" i="13"/>
  <c r="D107" i="13"/>
  <c r="D106" i="13"/>
  <c r="D105" i="13"/>
  <c r="D104" i="13"/>
  <c r="D103" i="13"/>
  <c r="D102" i="13"/>
  <c r="D101" i="13"/>
  <c r="D100" i="13"/>
  <c r="D99" i="13"/>
  <c r="D98" i="13"/>
  <c r="D97" i="13"/>
  <c r="D96" i="13"/>
  <c r="D95" i="13"/>
  <c r="D94" i="13"/>
  <c r="D93" i="13"/>
  <c r="D92" i="13"/>
  <c r="D91" i="13"/>
  <c r="D90" i="13"/>
  <c r="D89" i="13"/>
  <c r="D88" i="13"/>
  <c r="D87" i="13"/>
  <c r="D86" i="13"/>
  <c r="D85" i="13"/>
  <c r="D84" i="13"/>
  <c r="D83" i="13"/>
  <c r="D82" i="13"/>
  <c r="D81" i="13"/>
  <c r="D80" i="13"/>
  <c r="D79" i="13"/>
  <c r="D78" i="13"/>
  <c r="D77" i="13"/>
  <c r="D76" i="13"/>
  <c r="J83" i="2" l="1"/>
  <c r="K83" i="2" s="1"/>
  <c r="N83" i="2" s="1"/>
  <c r="J82" i="2"/>
  <c r="K82" i="2" s="1"/>
  <c r="N82" i="2" s="1"/>
  <c r="I81" i="2"/>
  <c r="J80" i="2"/>
  <c r="K80" i="2" s="1"/>
  <c r="N80" i="2" s="1"/>
  <c r="I79" i="2"/>
  <c r="J78" i="2"/>
  <c r="K78" i="2" s="1"/>
  <c r="N78" i="2" s="1"/>
  <c r="I77" i="2"/>
  <c r="M76" i="2"/>
  <c r="I76" i="2"/>
  <c r="H76" i="2"/>
  <c r="E76" i="2"/>
  <c r="M75" i="2"/>
  <c r="I75" i="2"/>
  <c r="H75" i="2"/>
  <c r="E75" i="2"/>
  <c r="M74" i="2"/>
  <c r="I74" i="2"/>
  <c r="H74" i="2"/>
  <c r="E74" i="2"/>
  <c r="J81" i="2" l="1"/>
  <c r="K81" i="2" s="1"/>
  <c r="N81" i="2" s="1"/>
  <c r="J79" i="2"/>
  <c r="K79" i="2" s="1"/>
  <c r="N79" i="2" s="1"/>
  <c r="J77" i="2"/>
  <c r="K77" i="2" s="1"/>
  <c r="N77" i="2" s="1"/>
  <c r="J76" i="2"/>
  <c r="K76" i="2" s="1"/>
  <c r="N76" i="2" s="1"/>
  <c r="J75" i="2"/>
  <c r="K75" i="2" s="1"/>
  <c r="N75" i="2" s="1"/>
  <c r="J74" i="2"/>
  <c r="K74" i="2" s="1"/>
  <c r="N74" i="2" s="1"/>
  <c r="H73" i="2" l="1"/>
  <c r="E73" i="2"/>
  <c r="M73" i="2" s="1"/>
  <c r="H72" i="2"/>
  <c r="E72" i="2"/>
  <c r="M72" i="2" s="1"/>
  <c r="M71" i="2"/>
  <c r="I71" i="2"/>
  <c r="H71" i="2"/>
  <c r="E71" i="2"/>
  <c r="M70" i="2"/>
  <c r="J70" i="2"/>
  <c r="K70" i="2" s="1"/>
  <c r="N70" i="2" s="1"/>
  <c r="I70" i="2"/>
  <c r="H70" i="2"/>
  <c r="E70" i="2"/>
  <c r="I73" i="2" l="1"/>
  <c r="I72" i="2"/>
  <c r="J71" i="2"/>
  <c r="K71" i="2" s="1"/>
  <c r="N71" i="2" s="1"/>
  <c r="J73" i="2" l="1"/>
  <c r="K73" i="2" s="1"/>
  <c r="N73" i="2" s="1"/>
  <c r="J72" i="2"/>
  <c r="K72" i="2" s="1"/>
  <c r="N72" i="2" s="1"/>
  <c r="M69" i="2"/>
  <c r="I69" i="2"/>
  <c r="H69" i="2"/>
  <c r="E69" i="2"/>
  <c r="H68" i="2"/>
  <c r="E68" i="2"/>
  <c r="M68" i="2" s="1"/>
  <c r="J69" i="2" l="1"/>
  <c r="K69" i="2" s="1"/>
  <c r="N69" i="2" s="1"/>
  <c r="I68" i="2"/>
  <c r="M67" i="2"/>
  <c r="I67" i="2"/>
  <c r="H67" i="2"/>
  <c r="E67" i="2"/>
  <c r="M66" i="2"/>
  <c r="I66" i="2"/>
  <c r="H66" i="2"/>
  <c r="E66" i="2"/>
  <c r="J68" i="2" l="1"/>
  <c r="K68" i="2" s="1"/>
  <c r="N68" i="2" s="1"/>
  <c r="J67" i="2"/>
  <c r="K67" i="2" s="1"/>
  <c r="N67" i="2" s="1"/>
  <c r="J66" i="2"/>
  <c r="K66" i="2" s="1"/>
  <c r="N66" i="2" s="1"/>
  <c r="M65" i="2" l="1"/>
  <c r="I65" i="2"/>
  <c r="H65" i="2"/>
  <c r="E65" i="2"/>
  <c r="J65" i="2" l="1"/>
  <c r="K65" i="2" s="1"/>
  <c r="M64" i="2"/>
  <c r="I64" i="2"/>
  <c r="H64" i="2"/>
  <c r="E64" i="2"/>
  <c r="J64" i="2" l="1"/>
  <c r="K64" i="2" s="1"/>
  <c r="N64" i="2" s="1"/>
  <c r="M63" i="2"/>
  <c r="I63" i="2"/>
  <c r="J63" i="2" s="1"/>
  <c r="K63" i="2" s="1"/>
  <c r="N63" i="2" s="1"/>
  <c r="H63" i="2"/>
  <c r="E63" i="2"/>
  <c r="M62" i="2"/>
  <c r="I62" i="2"/>
  <c r="H62" i="2"/>
  <c r="E62" i="2"/>
  <c r="M61" i="2"/>
  <c r="J61" i="2"/>
  <c r="K61" i="2" s="1"/>
  <c r="N61" i="2" s="1"/>
  <c r="I61" i="2"/>
  <c r="H61" i="2"/>
  <c r="E61" i="2"/>
  <c r="M60" i="2"/>
  <c r="H60" i="2"/>
  <c r="E60" i="2"/>
  <c r="I60" i="2" s="1"/>
  <c r="M59" i="2"/>
  <c r="I59" i="2"/>
  <c r="H59" i="2"/>
  <c r="E59" i="2"/>
  <c r="M58" i="2"/>
  <c r="H58" i="2"/>
  <c r="E58" i="2"/>
  <c r="I58" i="2" s="1"/>
  <c r="H57" i="2"/>
  <c r="E57" i="2"/>
  <c r="M57" i="2" s="1"/>
  <c r="M56" i="2"/>
  <c r="J56" i="2"/>
  <c r="K56" i="2" s="1"/>
  <c r="N56" i="2" s="1"/>
  <c r="I56" i="2"/>
  <c r="H56" i="2"/>
  <c r="E56" i="2"/>
  <c r="E55" i="2"/>
  <c r="I55" i="2" s="1"/>
  <c r="H55" i="2"/>
  <c r="H54" i="2"/>
  <c r="E54" i="2"/>
  <c r="I54" i="2" s="1"/>
  <c r="I53" i="2"/>
  <c r="H53" i="2"/>
  <c r="E53" i="2"/>
  <c r="M53" i="2" s="1"/>
  <c r="H52" i="2"/>
  <c r="E52" i="2"/>
  <c r="I52" i="2" s="1"/>
  <c r="N65" i="2" l="1"/>
  <c r="J62" i="2"/>
  <c r="K62" i="2" s="1"/>
  <c r="N62" i="2" s="1"/>
  <c r="J60" i="2"/>
  <c r="K60" i="2" s="1"/>
  <c r="N60" i="2" s="1"/>
  <c r="J59" i="2"/>
  <c r="K59" i="2" s="1"/>
  <c r="N59" i="2" s="1"/>
  <c r="J58" i="2"/>
  <c r="K58" i="2" s="1"/>
  <c r="N58" i="2" s="1"/>
  <c r="I57" i="2"/>
  <c r="J55" i="2"/>
  <c r="K55" i="2"/>
  <c r="N55" i="2" s="1"/>
  <c r="M55" i="2"/>
  <c r="M54" i="2"/>
  <c r="J54" i="2"/>
  <c r="K54" i="2" s="1"/>
  <c r="N54" i="2" s="1"/>
  <c r="J53" i="2"/>
  <c r="K53" i="2" s="1"/>
  <c r="N53" i="2" s="1"/>
  <c r="M52" i="2"/>
  <c r="J52" i="2"/>
  <c r="K52" i="2" s="1"/>
  <c r="N52" i="2" s="1"/>
  <c r="H51" i="2"/>
  <c r="E51" i="2"/>
  <c r="M51" i="2" s="1"/>
  <c r="J57" i="2" l="1"/>
  <c r="K57" i="2" s="1"/>
  <c r="N57" i="2" s="1"/>
  <c r="I51" i="2"/>
  <c r="M50" i="2"/>
  <c r="H50" i="2"/>
  <c r="E50" i="2"/>
  <c r="I50" i="2" s="1"/>
  <c r="M49" i="2"/>
  <c r="H49" i="2"/>
  <c r="E49" i="2"/>
  <c r="I49" i="2" s="1"/>
  <c r="M48" i="2"/>
  <c r="H48" i="2"/>
  <c r="E48" i="2"/>
  <c r="I48" i="2" s="1"/>
  <c r="H47" i="2"/>
  <c r="E47" i="2"/>
  <c r="M47" i="2" s="1"/>
  <c r="H46" i="2"/>
  <c r="E46" i="2"/>
  <c r="M46" i="2" s="1"/>
  <c r="M45" i="2"/>
  <c r="H45" i="2"/>
  <c r="E45" i="2"/>
  <c r="I45" i="2" s="1"/>
  <c r="M44" i="2"/>
  <c r="I44" i="2"/>
  <c r="H44" i="2"/>
  <c r="E44" i="2"/>
  <c r="H43" i="2"/>
  <c r="E43" i="2"/>
  <c r="I43" i="2" s="1"/>
  <c r="E12" i="8"/>
  <c r="E13" i="8" s="1"/>
  <c r="I42" i="2"/>
  <c r="H42" i="2"/>
  <c r="M42" i="2"/>
  <c r="E42" i="2"/>
  <c r="E11" i="8" a="1"/>
  <c r="G19" i="8" a="1"/>
  <c r="G31" i="8" a="1"/>
  <c r="G23" i="8" a="1"/>
  <c r="G18" i="8" a="1"/>
  <c r="G30" i="8" a="1"/>
  <c r="E16" i="8" a="1"/>
  <c r="G24" i="8" a="1"/>
  <c r="G16" i="8" a="1"/>
  <c r="G22" i="8" a="1"/>
  <c r="G21" i="8" a="1"/>
  <c r="G20" i="8" a="1"/>
  <c r="J51" i="2" l="1"/>
  <c r="K51" i="2" s="1"/>
  <c r="N51" i="2" s="1"/>
  <c r="J50" i="2"/>
  <c r="K50" i="2" s="1"/>
  <c r="N50" i="2" s="1"/>
  <c r="J49" i="2"/>
  <c r="K49" i="2" s="1"/>
  <c r="N49" i="2" s="1"/>
  <c r="K48" i="2"/>
  <c r="N48" i="2" s="1"/>
  <c r="J48" i="2"/>
  <c r="I47" i="2"/>
  <c r="I46" i="2"/>
  <c r="E11" i="8"/>
  <c r="J45" i="2"/>
  <c r="K45" i="2" s="1"/>
  <c r="N45" i="2" s="1"/>
  <c r="J44" i="2"/>
  <c r="K44" i="2" s="1"/>
  <c r="N44" i="2" s="1"/>
  <c r="M43" i="2"/>
  <c r="J43" i="2"/>
  <c r="K43" i="2" s="1"/>
  <c r="N43" i="2" s="1"/>
  <c r="G24" i="8"/>
  <c r="E16" i="8"/>
  <c r="G20" i="8"/>
  <c r="G16" i="8"/>
  <c r="G21" i="8"/>
  <c r="G22" i="8"/>
  <c r="G18" i="8"/>
  <c r="G30" i="8"/>
  <c r="G19" i="8"/>
  <c r="G31" i="8"/>
  <c r="G23" i="8"/>
  <c r="G26" i="8" s="1"/>
  <c r="J42" i="2"/>
  <c r="K42" i="2" s="1"/>
  <c r="N42" i="2" s="1"/>
  <c r="M41" i="2"/>
  <c r="I41" i="2"/>
  <c r="E41" i="2"/>
  <c r="M40" i="2"/>
  <c r="E40" i="2"/>
  <c r="I40" i="2" s="1"/>
  <c r="E39" i="2"/>
  <c r="M39" i="2" s="1"/>
  <c r="J47" i="2" l="1"/>
  <c r="K47" i="2" s="1"/>
  <c r="N47" i="2" s="1"/>
  <c r="J46" i="2"/>
  <c r="K46" i="2" s="1"/>
  <c r="N46" i="2" s="1"/>
  <c r="H19" i="8"/>
  <c r="J41" i="2"/>
  <c r="K41" i="2" s="1"/>
  <c r="N41" i="2" s="1"/>
  <c r="J40" i="2"/>
  <c r="K40" i="2"/>
  <c r="N40" i="2" s="1"/>
  <c r="I39" i="2"/>
  <c r="J39" i="2" l="1"/>
  <c r="K39" i="2" s="1"/>
  <c r="N39" i="2" s="1"/>
  <c r="E38" i="2" l="1"/>
  <c r="M38" i="2" s="1"/>
  <c r="I38" i="2" l="1"/>
  <c r="J38" i="2" l="1"/>
  <c r="K38" i="2" s="1"/>
  <c r="N38" i="2" s="1"/>
  <c r="E37" i="2" l="1"/>
  <c r="M37" i="2" s="1"/>
  <c r="E36" i="2"/>
  <c r="I36" i="2" s="1"/>
  <c r="J36" i="2" s="1"/>
  <c r="K36" i="2" s="1"/>
  <c r="E35" i="2"/>
  <c r="I35" i="2" s="1"/>
  <c r="E34" i="2"/>
  <c r="I37" i="2" l="1"/>
  <c r="J35" i="2"/>
  <c r="K35" i="2" s="1"/>
  <c r="I34" i="2"/>
  <c r="E33" i="2"/>
  <c r="I33" i="2" s="1"/>
  <c r="E32" i="2"/>
  <c r="I32" i="2" s="1"/>
  <c r="E31" i="2"/>
  <c r="I31" i="2" s="1"/>
  <c r="E30" i="2"/>
  <c r="I30" i="2" s="1"/>
  <c r="E29" i="2"/>
  <c r="I29" i="2" s="1"/>
  <c r="E28" i="2"/>
  <c r="I28" i="2" s="1"/>
  <c r="E27" i="2"/>
  <c r="I27" i="2" s="1"/>
  <c r="E26" i="2"/>
  <c r="I26" i="2" s="1"/>
  <c r="E25" i="2"/>
  <c r="I25" i="2" s="1"/>
  <c r="E24" i="2"/>
  <c r="I24" i="2" s="1"/>
  <c r="E23" i="2"/>
  <c r="I23" i="2" s="1"/>
  <c r="J37" i="2" l="1"/>
  <c r="K37" i="2" s="1"/>
  <c r="N37" i="2" s="1"/>
  <c r="J34" i="2"/>
  <c r="K34" i="2" s="1"/>
  <c r="J33" i="2"/>
  <c r="K33" i="2" s="1"/>
  <c r="J32" i="2"/>
  <c r="K32" i="2" s="1"/>
  <c r="J31" i="2"/>
  <c r="K31" i="2" s="1"/>
  <c r="J30" i="2"/>
  <c r="K30" i="2" s="1"/>
  <c r="J29" i="2"/>
  <c r="K29" i="2" s="1"/>
  <c r="J28" i="2"/>
  <c r="K28" i="2" s="1"/>
  <c r="J27" i="2"/>
  <c r="K27" i="2" s="1"/>
  <c r="J26" i="2"/>
  <c r="K26" i="2" s="1"/>
  <c r="J25" i="2"/>
  <c r="K25" i="2" s="1"/>
  <c r="J24" i="2"/>
  <c r="K24" i="2" s="1"/>
  <c r="J23" i="2"/>
  <c r="K23" i="2" s="1"/>
  <c r="E22" i="2"/>
  <c r="I22" i="2" s="1"/>
  <c r="J22" i="2" s="1"/>
  <c r="E21" i="2"/>
  <c r="I21" i="2" s="1"/>
  <c r="E20" i="2"/>
  <c r="I20" i="2" s="1"/>
  <c r="K22" i="2" l="1"/>
  <c r="J21" i="2"/>
  <c r="K21" i="2" s="1"/>
  <c r="J20" i="2"/>
  <c r="K20" i="2" s="1"/>
  <c r="E19" i="2" l="1"/>
  <c r="I19" i="2" s="1"/>
  <c r="J19" i="2" s="1"/>
  <c r="K19" i="2" l="1"/>
  <c r="E18" i="2"/>
  <c r="I18" i="2" s="1"/>
  <c r="J18" i="2" l="1"/>
  <c r="K18" i="2" s="1"/>
  <c r="E17" i="2"/>
  <c r="I17" i="2" s="1"/>
  <c r="J17" i="2" l="1"/>
  <c r="K17" i="2" s="1"/>
  <c r="H19" i="4" l="1"/>
  <c r="E13" i="4" l="1"/>
  <c r="N5" i="4"/>
  <c r="G21" i="4" s="1"/>
  <c r="G22" i="4" s="1"/>
  <c r="G20" i="4"/>
  <c r="E16" i="2"/>
  <c r="I16" i="2" s="1"/>
  <c r="E15" i="2"/>
  <c r="I15" i="2" s="1"/>
  <c r="J15" i="2" s="1"/>
  <c r="K15" i="2" s="1"/>
  <c r="E14" i="2"/>
  <c r="I14" i="2" s="1"/>
  <c r="E13" i="2"/>
  <c r="I13" i="2" s="1"/>
  <c r="E12" i="2"/>
  <c r="I12" i="2" s="1"/>
  <c r="E11" i="2"/>
  <c r="I11" i="2" s="1"/>
  <c r="E10" i="2"/>
  <c r="I10" i="2" s="1"/>
  <c r="E9" i="2"/>
  <c r="I9" i="2" s="1"/>
  <c r="E8" i="2"/>
  <c r="I8" i="2" s="1"/>
  <c r="J8" i="2" s="1"/>
  <c r="E7" i="2"/>
  <c r="I7" i="2" s="1"/>
  <c r="J7" i="2" s="1"/>
  <c r="K7" i="2" s="1"/>
  <c r="E6" i="2"/>
  <c r="E5" i="2"/>
  <c r="I5" i="2" s="1"/>
  <c r="J5" i="2" s="1"/>
  <c r="K5" i="2" s="1"/>
  <c r="I6" i="2" l="1"/>
  <c r="M36" i="2"/>
  <c r="M35" i="2"/>
  <c r="M33" i="2"/>
  <c r="M25" i="2"/>
  <c r="M17" i="2"/>
  <c r="M9" i="2"/>
  <c r="M31" i="2"/>
  <c r="M23" i="2"/>
  <c r="M15" i="2"/>
  <c r="M30" i="2"/>
  <c r="M14" i="2"/>
  <c r="M21" i="2"/>
  <c r="M12" i="2"/>
  <c r="M27" i="2"/>
  <c r="M11" i="2"/>
  <c r="M26" i="2"/>
  <c r="M10" i="2"/>
  <c r="M34" i="2"/>
  <c r="M32" i="2"/>
  <c r="M24" i="2"/>
  <c r="M16" i="2"/>
  <c r="M8" i="2"/>
  <c r="M7" i="2"/>
  <c r="M22" i="2"/>
  <c r="M29" i="2"/>
  <c r="M13" i="2"/>
  <c r="M28" i="2"/>
  <c r="M20" i="2"/>
  <c r="M19" i="2"/>
  <c r="M18" i="2"/>
  <c r="J16" i="2"/>
  <c r="K16" i="2" s="1"/>
  <c r="J6" i="2"/>
  <c r="K6" i="2"/>
  <c r="K8" i="2"/>
  <c r="J14" i="2"/>
  <c r="K14" i="2" s="1"/>
  <c r="G23" i="4"/>
  <c r="J13" i="2"/>
  <c r="K13" i="2" s="1"/>
  <c r="J12" i="2"/>
  <c r="K12" i="2" s="1"/>
  <c r="J11" i="2"/>
  <c r="K11" i="2" s="1"/>
  <c r="J10" i="2"/>
  <c r="K10" i="2" s="1"/>
  <c r="J9" i="2"/>
  <c r="K9" i="2" s="1"/>
  <c r="N36" i="2" l="1"/>
  <c r="N30" i="2"/>
  <c r="N22" i="2"/>
  <c r="N14" i="2"/>
  <c r="N28" i="2"/>
  <c r="N20" i="2"/>
  <c r="N27" i="2"/>
  <c r="N24" i="2"/>
  <c r="N31" i="2"/>
  <c r="N15" i="2"/>
  <c r="N29" i="2"/>
  <c r="N21" i="2"/>
  <c r="N13" i="2"/>
  <c r="N12" i="2"/>
  <c r="N19" i="2"/>
  <c r="N11" i="2"/>
  <c r="N26" i="2"/>
  <c r="N18" i="2"/>
  <c r="N10" i="2"/>
  <c r="N33" i="2"/>
  <c r="N25" i="2"/>
  <c r="N17" i="2"/>
  <c r="N9" i="2"/>
  <c r="N32" i="2"/>
  <c r="N16" i="2"/>
  <c r="N8" i="2"/>
  <c r="N23" i="2"/>
  <c r="N7" i="2"/>
  <c r="N35" i="2"/>
  <c r="N34" i="2"/>
  <c r="G26" i="4"/>
  <c r="G24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<sst xmlns="http://schemas.openxmlformats.org/spreadsheetml/2006/main" count="224" uniqueCount="127">
  <si>
    <t>Month</t>
  </si>
  <si>
    <t>Date start</t>
  </si>
  <si>
    <t>Date End</t>
  </si>
  <si>
    <t>kWh whole array</t>
  </si>
  <si>
    <t>April</t>
  </si>
  <si>
    <t>March</t>
  </si>
  <si>
    <t>Tariff</t>
  </si>
  <si>
    <t>Adder</t>
  </si>
  <si>
    <t>Value</t>
  </si>
  <si>
    <t>Bill</t>
  </si>
  <si>
    <t>Savings</t>
  </si>
  <si>
    <t>May</t>
  </si>
  <si>
    <t>June</t>
  </si>
  <si>
    <t xml:space="preserve">July </t>
  </si>
  <si>
    <t>August</t>
  </si>
  <si>
    <t>September</t>
  </si>
  <si>
    <t>October</t>
  </si>
  <si>
    <t>November</t>
  </si>
  <si>
    <t>December</t>
  </si>
  <si>
    <t>January</t>
  </si>
  <si>
    <t>February</t>
  </si>
  <si>
    <t>CUSTOMER</t>
  </si>
  <si>
    <t>ADDRESS</t>
  </si>
  <si>
    <t>ACCT #</t>
  </si>
  <si>
    <t>METER #</t>
  </si>
  <si>
    <t>Price Factor (100% - discount)</t>
  </si>
  <si>
    <t>Percent of solar net metering credits from the array to CUSTOMER</t>
  </si>
  <si>
    <t>One-time inputs</t>
  </si>
  <si>
    <t>Monthly inputs</t>
  </si>
  <si>
    <t>Norwich Fire District</t>
  </si>
  <si>
    <t xml:space="preserve"> </t>
  </si>
  <si>
    <t>email</t>
  </si>
  <si>
    <t>PO Box 777,  293-B Main Street, Norwich Vt. 05055</t>
  </si>
  <si>
    <t>Norwichfiredistrict1@myfairpoint.net</t>
  </si>
  <si>
    <t>kWh NFD</t>
  </si>
  <si>
    <t>Incentive Rate: $0.04/kWh</t>
  </si>
  <si>
    <t>Billing Rate: 90%</t>
  </si>
  <si>
    <t>HCT Sun Enterprises, LLC</t>
  </si>
  <si>
    <t>102 Kendall Station Road</t>
  </si>
  <si>
    <t>Ph:  443 824 1946</t>
  </si>
  <si>
    <t>email:  pbozuwa@gmail.com</t>
  </si>
  <si>
    <t>Attn:   Paul Bozuwa</t>
  </si>
  <si>
    <t>Invoice - Solar Power Generation</t>
  </si>
  <si>
    <t>From</t>
  </si>
  <si>
    <t>To</t>
  </si>
  <si>
    <t xml:space="preserve">Time Period Covered: </t>
  </si>
  <si>
    <t>Net Rate</t>
  </si>
  <si>
    <t>Incentive Rate</t>
  </si>
  <si>
    <t>Billing %</t>
  </si>
  <si>
    <t xml:space="preserve">Solar Value: </t>
  </si>
  <si>
    <t xml:space="preserve">Solar Savings: </t>
  </si>
  <si>
    <t xml:space="preserve">Final Amount Owed: </t>
  </si>
  <si>
    <t>Due Date:  (28 days)</t>
  </si>
  <si>
    <t>Project Total KwH generation</t>
  </si>
  <si>
    <t>Project total financial savings</t>
  </si>
  <si>
    <t>Please make check payable to HCT Sun Enterprises, LLC</t>
  </si>
  <si>
    <t xml:space="preserve">Invoice Number: </t>
  </si>
  <si>
    <t xml:space="preserve">Invoice Date: </t>
  </si>
  <si>
    <t>12/17/19</t>
  </si>
  <si>
    <t>Total Array KwH</t>
  </si>
  <si>
    <t>NFD KWH: (16% of total array)</t>
  </si>
  <si>
    <t>Cumm KwH</t>
  </si>
  <si>
    <t>Cumm Savings</t>
  </si>
  <si>
    <t>Norwich, VT  05055</t>
  </si>
  <si>
    <t>HCT Sun Enterprises, LLC.    102 Kendall Station Road, Norwich, VT  05055</t>
  </si>
  <si>
    <t>check received date</t>
  </si>
  <si>
    <t>2022-09</t>
  </si>
  <si>
    <t>Invoice #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</si>
  <si>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</si>
  <si>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</si>
  <si>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</si>
  <si>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</si>
  <si>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</si>
  <si>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</si>
  <si>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</si>
  <si>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</si>
  <si>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</si>
  <si>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Paid very late</t>
  </si>
  <si>
    <t>Tarrif+Adder</t>
  </si>
  <si>
    <t>2022-10</t>
  </si>
  <si>
    <t>Net Rate: $0.17141/kWh</t>
  </si>
  <si>
    <t>New Row #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</si>
  <si>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</si>
  <si>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</si>
  <si>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</si>
  <si>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</si>
  <si>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</si>
  <si>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</si>
  <si>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</si>
  <si>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</si>
  <si>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</si>
  <si>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</si>
  <si>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</si>
  <si>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</si>
  <si>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</si>
  <si>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</si>
  <si>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</si>
  <si>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</si>
  <si>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****4 cent adder is 10 years only - 2019-2029</t>
  </si>
  <si>
    <t>2024-03</t>
  </si>
  <si>
    <t>2024-04</t>
  </si>
  <si>
    <t>2024-05</t>
  </si>
  <si>
    <t>2024-06</t>
  </si>
  <si>
    <t>2024-07</t>
  </si>
  <si>
    <t>2024-08</t>
  </si>
  <si>
    <t>Net Rate: $0.18398/kWh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</si>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</sst>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Chalkboard"/>
      <family val="4"/>
    </font>
    <font>
      <b/>
      <sz val="16"/>
      <color theme="1"/>
      <name val="Chalkboard"/>
      <family val="4"/>
    </font>
    <font>
      <b/>
      <sz val="16"/>
      <color theme="1"/>
      <name val="Calibri"/>
      <family val="2"/>
      <scheme val="minor"/>
    </font>
    <font>
      <i/>
      <sz val="12"/>
      <color theme="1"/>
      <name val="Chalkboard"/>
      <family val="4"/>
    </font>
    <font>
      <sz val="18"/>
      <color theme="1"/>
      <name val="Calibri"/>
      <family val="2"/>
      <scheme val="minor"/>
    </font>
    <font>
      <b/>
      <sz val="20"/>
      <color theme="1"/>
      <name val="Calibri (Body)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  <xf numFmtId="0" fontId="0" fillId="2" borderId="0" xfId="0" applyFill="1"/>
    <xf numFmtId="165" fontId="0" fillId="0" borderId="0" xfId="0" applyNumberFormat="1"/>
    <xf numFmtId="44" fontId="0" fillId="0" borderId="0" xfId="2" applyFont="1"/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3" borderId="0" xfId="0" applyFill="1" applyAlignment="1">
      <alignment wrapText="1"/>
    </xf>
    <xf numFmtId="10" fontId="0" fillId="3" borderId="0" xfId="1" applyNumberFormat="1" applyFont="1" applyFill="1"/>
    <xf numFmtId="9" fontId="0" fillId="3" borderId="0" xfId="1" applyFont="1" applyFill="1"/>
    <xf numFmtId="0" fontId="0" fillId="2" borderId="0" xfId="0" applyFill="1" applyAlignment="1">
      <alignment wrapText="1"/>
    </xf>
    <xf numFmtId="0" fontId="0" fillId="4" borderId="0" xfId="0" applyFill="1" applyAlignment="1">
      <alignment horizontal="left" wrapText="1"/>
    </xf>
    <xf numFmtId="0" fontId="0" fillId="4" borderId="0" xfId="0" applyFill="1" applyAlignment="1">
      <alignment wrapText="1"/>
    </xf>
    <xf numFmtId="0" fontId="0" fillId="4" borderId="0" xfId="0" applyFill="1" applyAlignment="1">
      <alignment horizontal="left"/>
    </xf>
    <xf numFmtId="0" fontId="0" fillId="2" borderId="0" xfId="0" applyFill="1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left"/>
    </xf>
    <xf numFmtId="49" fontId="0" fillId="2" borderId="0" xfId="0" applyNumberFormat="1" applyFill="1" applyAlignment="1">
      <alignment horizontal="left"/>
    </xf>
    <xf numFmtId="14" fontId="0" fillId="2" borderId="0" xfId="0" applyNumberFormat="1" applyFill="1" applyAlignment="1">
      <alignment horizontal="right"/>
    </xf>
    <xf numFmtId="0" fontId="2" fillId="0" borderId="0" xfId="4"/>
    <xf numFmtId="9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9" fontId="0" fillId="0" borderId="6" xfId="0" applyNumberForma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166" fontId="4" fillId="0" borderId="0" xfId="3" applyNumberFormat="1" applyFont="1" applyBorder="1" applyAlignment="1">
      <alignment horizontal="right"/>
    </xf>
    <xf numFmtId="2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44" fontId="4" fillId="0" borderId="0" xfId="2" applyFont="1" applyBorder="1" applyAlignment="1">
      <alignment horizontal="right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5" fillId="0" borderId="0" xfId="0" applyFont="1"/>
    <xf numFmtId="0" fontId="4" fillId="0" borderId="0" xfId="0" applyFont="1" applyAlignment="1">
      <alignment horizontal="left"/>
    </xf>
    <xf numFmtId="0" fontId="7" fillId="0" borderId="0" xfId="0" applyFont="1"/>
    <xf numFmtId="0" fontId="3" fillId="5" borderId="0" xfId="0" applyFont="1" applyFill="1"/>
    <xf numFmtId="0" fontId="3" fillId="5" borderId="0" xfId="0" applyFont="1" applyFill="1" applyAlignment="1">
      <alignment horizontal="right"/>
    </xf>
    <xf numFmtId="44" fontId="3" fillId="5" borderId="0" xfId="2" applyFont="1" applyFill="1" applyBorder="1"/>
    <xf numFmtId="0" fontId="3" fillId="0" borderId="8" xfId="0" applyFont="1" applyBorder="1"/>
    <xf numFmtId="0" fontId="3" fillId="0" borderId="8" xfId="0" applyFont="1" applyBorder="1" applyAlignment="1">
      <alignment horizontal="right"/>
    </xf>
    <xf numFmtId="14" fontId="4" fillId="0" borderId="0" xfId="0" applyNumberFormat="1" applyFont="1"/>
    <xf numFmtId="0" fontId="6" fillId="0" borderId="0" xfId="0" applyFont="1" applyAlignment="1">
      <alignment horizontal="right"/>
    </xf>
    <xf numFmtId="44" fontId="5" fillId="0" borderId="0" xfId="2" applyFont="1" applyBorder="1" applyAlignment="1">
      <alignment horizontal="right"/>
    </xf>
    <xf numFmtId="0" fontId="3" fillId="0" borderId="2" xfId="0" applyFont="1" applyBorder="1"/>
    <xf numFmtId="0" fontId="3" fillId="0" borderId="4" xfId="0" applyFont="1" applyBorder="1"/>
    <xf numFmtId="0" fontId="4" fillId="0" borderId="4" xfId="0" applyFont="1" applyBorder="1"/>
    <xf numFmtId="0" fontId="6" fillId="0" borderId="8" xfId="0" applyFont="1" applyBorder="1"/>
    <xf numFmtId="0" fontId="3" fillId="0" borderId="6" xfId="0" applyFont="1" applyBorder="1"/>
    <xf numFmtId="166" fontId="4" fillId="0" borderId="0" xfId="3" applyNumberFormat="1" applyFont="1" applyBorder="1"/>
    <xf numFmtId="9" fontId="4" fillId="0" borderId="0" xfId="1" applyFont="1" applyBorder="1"/>
    <xf numFmtId="165" fontId="4" fillId="0" borderId="0" xfId="0" applyNumberFormat="1" applyFont="1"/>
    <xf numFmtId="0" fontId="0" fillId="0" borderId="8" xfId="0" applyBorder="1" applyAlignment="1">
      <alignment horizontal="left"/>
    </xf>
    <xf numFmtId="14" fontId="0" fillId="2" borderId="8" xfId="0" applyNumberFormat="1" applyFill="1" applyBorder="1"/>
    <xf numFmtId="14" fontId="0" fillId="2" borderId="8" xfId="0" applyNumberFormat="1" applyFill="1" applyBorder="1" applyAlignment="1">
      <alignment horizontal="left"/>
    </xf>
    <xf numFmtId="0" fontId="0" fillId="2" borderId="8" xfId="0" applyFill="1" applyBorder="1" applyAlignment="1">
      <alignment horizontal="left"/>
    </xf>
    <xf numFmtId="165" fontId="0" fillId="0" borderId="8" xfId="0" applyNumberFormat="1" applyBorder="1"/>
    <xf numFmtId="0" fontId="0" fillId="2" borderId="8" xfId="0" applyFill="1" applyBorder="1"/>
    <xf numFmtId="0" fontId="0" fillId="0" borderId="8" xfId="0" applyBorder="1"/>
    <xf numFmtId="44" fontId="0" fillId="0" borderId="8" xfId="2" applyFont="1" applyBorder="1"/>
    <xf numFmtId="44" fontId="0" fillId="0" borderId="0" xfId="2" applyFont="1" applyBorder="1"/>
    <xf numFmtId="14" fontId="0" fillId="0" borderId="0" xfId="0" applyNumberFormat="1"/>
    <xf numFmtId="14" fontId="0" fillId="0" borderId="0" xfId="0" applyNumberFormat="1" applyAlignment="1">
      <alignment horizontal="left"/>
    </xf>
    <xf numFmtId="44" fontId="0" fillId="0" borderId="0" xfId="2" applyFont="1" applyFill="1" applyBorder="1"/>
    <xf numFmtId="166" fontId="3" fillId="5" borderId="0" xfId="3" applyNumberFormat="1" applyFont="1" applyFill="1" applyBorder="1"/>
    <xf numFmtId="44" fontId="0" fillId="0" borderId="0" xfId="0" applyNumberFormat="1"/>
    <xf numFmtId="0" fontId="8" fillId="6" borderId="9" xfId="0" applyFont="1" applyFill="1" applyBorder="1"/>
    <xf numFmtId="0" fontId="8" fillId="6" borderId="10" xfId="0" applyFont="1" applyFill="1" applyBorder="1"/>
    <xf numFmtId="3" fontId="0" fillId="0" borderId="0" xfId="0" applyNumberFormat="1" applyAlignment="1">
      <alignment horizontal="left"/>
    </xf>
    <xf numFmtId="0" fontId="9" fillId="0" borderId="0" xfId="0" applyFont="1"/>
    <xf numFmtId="166" fontId="0" fillId="0" borderId="0" xfId="3" applyNumberFormat="1" applyFont="1"/>
    <xf numFmtId="9" fontId="0" fillId="0" borderId="0" xfId="1" applyFont="1"/>
  </cellXfs>
  <cellStyles count="5">
    <cellStyle name="Comma" xfId="3" builtinId="3"/>
    <cellStyle name="Currency" xfId="2" builtinId="4"/>
    <cellStyle name="Hyperlink" xfId="4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Norwich Whole Array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name>TTM</c:name>
            <c:spPr>
              <a:ln w="19050" cap="rnd">
                <a:solidFill>
                  <a:schemeClr val="accent1"/>
                </a:solidFill>
                <a:prstDash val="sysDot"/>
              </a:ln>
              <a:effectLst>
                <a:outerShdw blurRad="50800" dist="50800" dir="5400000" algn="ctr" rotWithShape="0">
                  <a:schemeClr val="accent2"/>
                </a:outerShdw>
              </a:effectLst>
            </c:spPr>
            <c:trendlineType val="movingAvg"/>
            <c:period val="12"/>
            <c:dispRSqr val="0"/>
            <c:dispEq val="0"/>
          </c:trendline>
          <c:cat>
            <c:strRef>
              <c:f>NFD!$A$7:$A$76</c:f>
              <c:strCache>
                <c:ptCount val="70"/>
                <c:pt idx="0">
                  <c:v>October</c:v>
                </c:pt>
                <c:pt idx="1">
                  <c:v>November</c:v>
                </c:pt>
                <c:pt idx="2">
                  <c:v>December</c:v>
                </c:pt>
                <c:pt idx="3">
                  <c:v>January</c:v>
                </c:pt>
                <c:pt idx="4">
                  <c:v>February</c:v>
                </c:pt>
                <c:pt idx="5">
                  <c:v>March</c:v>
                </c:pt>
                <c:pt idx="6">
                  <c:v>April</c:v>
                </c:pt>
                <c:pt idx="7">
                  <c:v>May</c:v>
                </c:pt>
                <c:pt idx="8">
                  <c:v>June</c:v>
                </c:pt>
                <c:pt idx="9">
                  <c:v>July </c:v>
                </c:pt>
                <c:pt idx="10">
                  <c:v>August</c:v>
                </c:pt>
                <c:pt idx="11">
                  <c:v>September</c:v>
                </c:pt>
                <c:pt idx="12">
                  <c:v>October</c:v>
                </c:pt>
                <c:pt idx="13">
                  <c:v>November</c:v>
                </c:pt>
                <c:pt idx="14">
                  <c:v>December</c:v>
                </c:pt>
                <c:pt idx="15">
                  <c:v>January</c:v>
                </c:pt>
                <c:pt idx="16">
                  <c:v>February</c:v>
                </c:pt>
                <c:pt idx="17">
                  <c:v>March</c:v>
                </c:pt>
                <c:pt idx="18">
                  <c:v>April</c:v>
                </c:pt>
                <c:pt idx="19">
                  <c:v>May</c:v>
                </c:pt>
                <c:pt idx="20">
                  <c:v>June</c:v>
                </c:pt>
                <c:pt idx="21">
                  <c:v>July </c:v>
                </c:pt>
                <c:pt idx="22">
                  <c:v>August</c:v>
                </c:pt>
                <c:pt idx="23">
                  <c:v>September</c:v>
                </c:pt>
                <c:pt idx="24">
                  <c:v>October</c:v>
                </c:pt>
                <c:pt idx="25">
                  <c:v>November</c:v>
                </c:pt>
                <c:pt idx="26">
                  <c:v>December</c:v>
                </c:pt>
                <c:pt idx="27">
                  <c:v>January</c:v>
                </c:pt>
                <c:pt idx="28">
                  <c:v>February</c:v>
                </c:pt>
                <c:pt idx="29">
                  <c:v>March</c:v>
                </c:pt>
                <c:pt idx="30">
                  <c:v>April</c:v>
                </c:pt>
                <c:pt idx="31">
                  <c:v>May</c:v>
                </c:pt>
                <c:pt idx="32">
                  <c:v>June</c:v>
                </c:pt>
                <c:pt idx="33">
                  <c:v>July </c:v>
                </c:pt>
                <c:pt idx="34">
                  <c:v>August</c:v>
                </c:pt>
                <c:pt idx="35">
                  <c:v>September</c:v>
                </c:pt>
                <c:pt idx="36">
                  <c:v>October</c:v>
                </c:pt>
                <c:pt idx="37">
                  <c:v>November</c:v>
                </c:pt>
                <c:pt idx="38">
                  <c:v>December</c:v>
                </c:pt>
                <c:pt idx="39">
                  <c:v>January</c:v>
                </c:pt>
                <c:pt idx="40">
                  <c:v>February</c:v>
                </c:pt>
                <c:pt idx="41">
                  <c:v>March</c:v>
                </c:pt>
                <c:pt idx="42">
                  <c:v>April</c:v>
                </c:pt>
                <c:pt idx="43">
                  <c:v>May</c:v>
                </c:pt>
                <c:pt idx="44">
                  <c:v>June</c:v>
                </c:pt>
                <c:pt idx="45">
                  <c:v>July </c:v>
                </c:pt>
                <c:pt idx="46">
                  <c:v>August</c:v>
                </c:pt>
                <c:pt idx="47">
                  <c:v>September</c:v>
                </c:pt>
                <c:pt idx="48">
                  <c:v>October</c:v>
                </c:pt>
                <c:pt idx="49">
                  <c:v>November</c:v>
                </c:pt>
                <c:pt idx="50">
                  <c:v>December</c:v>
                </c:pt>
                <c:pt idx="51">
                  <c:v>January</c:v>
                </c:pt>
                <c:pt idx="52">
                  <c:v>February</c:v>
                </c:pt>
                <c:pt idx="53">
                  <c:v>March</c:v>
                </c:pt>
                <c:pt idx="54">
                  <c:v>April</c:v>
                </c:pt>
                <c:pt idx="55">
                  <c:v>May</c:v>
                </c:pt>
                <c:pt idx="56">
                  <c:v>June</c:v>
                </c:pt>
                <c:pt idx="57">
                  <c:v>July </c:v>
                </c:pt>
                <c:pt idx="58">
                  <c:v>August</c:v>
                </c:pt>
                <c:pt idx="59">
                  <c:v>September</c:v>
                </c:pt>
                <c:pt idx="60">
                  <c:v>October</c:v>
                </c:pt>
                <c:pt idx="61">
                  <c:v>November</c:v>
                </c:pt>
                <c:pt idx="62">
                  <c:v>December</c:v>
                </c:pt>
                <c:pt idx="63">
                  <c:v>January</c:v>
                </c:pt>
                <c:pt idx="64">
                  <c:v>February</c:v>
                </c:pt>
                <c:pt idx="65">
                  <c:v>March</c:v>
                </c:pt>
                <c:pt idx="66">
                  <c:v>April</c:v>
                </c:pt>
                <c:pt idx="67">
                  <c:v>May</c:v>
                </c:pt>
                <c:pt idx="68">
                  <c:v>June</c:v>
                </c:pt>
                <c:pt idx="69">
                  <c:v>July </c:v>
                </c:pt>
              </c:strCache>
            </c:strRef>
          </c:cat>
          <c:val>
            <c:numRef>
              <c:f>NFD!$D$7:$D$76</c:f>
              <c:numCache>
                <c:formatCode>General</c:formatCode>
                <c:ptCount val="70"/>
                <c:pt idx="0">
                  <c:v>15480</c:v>
                </c:pt>
                <c:pt idx="1">
                  <c:v>9720</c:v>
                </c:pt>
                <c:pt idx="2">
                  <c:v>8640</c:v>
                </c:pt>
                <c:pt idx="3">
                  <c:v>11700</c:v>
                </c:pt>
                <c:pt idx="4">
                  <c:v>22500</c:v>
                </c:pt>
                <c:pt idx="5">
                  <c:v>20880</c:v>
                </c:pt>
                <c:pt idx="6">
                  <c:v>26640</c:v>
                </c:pt>
                <c:pt idx="7">
                  <c:v>29700</c:v>
                </c:pt>
                <c:pt idx="8">
                  <c:v>28800</c:v>
                </c:pt>
                <c:pt idx="9">
                  <c:v>30240</c:v>
                </c:pt>
                <c:pt idx="10">
                  <c:v>27000</c:v>
                </c:pt>
                <c:pt idx="11">
                  <c:v>25740</c:v>
                </c:pt>
                <c:pt idx="12">
                  <c:v>14400</c:v>
                </c:pt>
                <c:pt idx="13">
                  <c:v>8100</c:v>
                </c:pt>
                <c:pt idx="14">
                  <c:v>8820</c:v>
                </c:pt>
                <c:pt idx="15">
                  <c:v>11700</c:v>
                </c:pt>
                <c:pt idx="16">
                  <c:v>20700</c:v>
                </c:pt>
                <c:pt idx="17">
                  <c:v>25142</c:v>
                </c:pt>
                <c:pt idx="18">
                  <c:v>21475</c:v>
                </c:pt>
                <c:pt idx="19">
                  <c:v>26888</c:v>
                </c:pt>
                <c:pt idx="20">
                  <c:v>24095</c:v>
                </c:pt>
                <c:pt idx="21">
                  <c:v>26713</c:v>
                </c:pt>
                <c:pt idx="22">
                  <c:v>21825</c:v>
                </c:pt>
                <c:pt idx="23">
                  <c:v>17460</c:v>
                </c:pt>
                <c:pt idx="24">
                  <c:v>17285</c:v>
                </c:pt>
                <c:pt idx="25">
                  <c:v>11872</c:v>
                </c:pt>
                <c:pt idx="26">
                  <c:v>7857</c:v>
                </c:pt>
                <c:pt idx="27">
                  <c:v>15714</c:v>
                </c:pt>
                <c:pt idx="28">
                  <c:v>15889</c:v>
                </c:pt>
                <c:pt idx="29">
                  <c:v>22523</c:v>
                </c:pt>
                <c:pt idx="30">
                  <c:v>25492</c:v>
                </c:pt>
                <c:pt idx="31">
                  <c:v>27586</c:v>
                </c:pt>
                <c:pt idx="32">
                  <c:v>30206</c:v>
                </c:pt>
                <c:pt idx="33">
                  <c:v>27761</c:v>
                </c:pt>
                <c:pt idx="34">
                  <c:v>25666</c:v>
                </c:pt>
                <c:pt idx="35">
                  <c:v>18333</c:v>
                </c:pt>
                <c:pt idx="36">
                  <c:v>19904</c:v>
                </c:pt>
                <c:pt idx="37">
                  <c:v>12397</c:v>
                </c:pt>
                <c:pt idx="38">
                  <c:v>9777</c:v>
                </c:pt>
                <c:pt idx="39">
                  <c:v>13270</c:v>
                </c:pt>
                <c:pt idx="40">
                  <c:v>12571</c:v>
                </c:pt>
                <c:pt idx="41">
                  <c:v>25492</c:v>
                </c:pt>
                <c:pt idx="42">
                  <c:v>24967</c:v>
                </c:pt>
                <c:pt idx="43">
                  <c:v>27587</c:v>
                </c:pt>
                <c:pt idx="44">
                  <c:v>23047</c:v>
                </c:pt>
                <c:pt idx="45">
                  <c:v>23745</c:v>
                </c:pt>
                <c:pt idx="46">
                  <c:v>24968</c:v>
                </c:pt>
                <c:pt idx="47">
                  <c:v>17883</c:v>
                </c:pt>
                <c:pt idx="48">
                  <c:v>13270</c:v>
                </c:pt>
                <c:pt idx="49">
                  <c:v>13078</c:v>
                </c:pt>
                <c:pt idx="50">
                  <c:v>8730</c:v>
                </c:pt>
                <c:pt idx="51" formatCode="#,##0">
                  <c:v>10999</c:v>
                </c:pt>
                <c:pt idx="52">
                  <c:v>20602</c:v>
                </c:pt>
                <c:pt idx="53">
                  <c:v>20079</c:v>
                </c:pt>
                <c:pt idx="54">
                  <c:v>24619</c:v>
                </c:pt>
                <c:pt idx="55">
                  <c:v>27586</c:v>
                </c:pt>
                <c:pt idx="56">
                  <c:v>26190</c:v>
                </c:pt>
                <c:pt idx="57">
                  <c:v>24793</c:v>
                </c:pt>
                <c:pt idx="58">
                  <c:v>27586</c:v>
                </c:pt>
                <c:pt idx="59">
                  <c:v>19206</c:v>
                </c:pt>
                <c:pt idx="60">
                  <c:v>20428</c:v>
                </c:pt>
                <c:pt idx="61">
                  <c:v>8206</c:v>
                </c:pt>
                <c:pt idx="62">
                  <c:v>8555</c:v>
                </c:pt>
                <c:pt idx="63">
                  <c:v>9079</c:v>
                </c:pt>
                <c:pt idx="64">
                  <c:v>18682</c:v>
                </c:pt>
                <c:pt idx="65">
                  <c:v>16587</c:v>
                </c:pt>
                <c:pt idx="66">
                  <c:v>21127</c:v>
                </c:pt>
                <c:pt idx="67">
                  <c:v>21475</c:v>
                </c:pt>
                <c:pt idx="68">
                  <c:v>23746</c:v>
                </c:pt>
                <c:pt idx="69">
                  <c:v>26015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C-4A4B-902E-FB1C98A7A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3646911"/>
        <c:axId val="543624799"/>
      </c:lineChart>
      <c:catAx>
        <c:axId val="54364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24799"/>
        <c:crosses val="autoZero"/>
        <c:auto val="1"/>
        <c:lblAlgn val="ctr"/>
        <c:lblOffset val="100"/>
        <c:noMultiLvlLbl val="0"/>
      </c:catAx>
      <c:valAx>
        <c:axId val="543624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646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4583974838340741E-2"/>
          <c:y val="7.4778225806451618E-2"/>
          <c:w val="0.91845082039326087"/>
          <c:h val="0.90304435483870971"/>
        </c:manualLayout>
      </c:layout>
      <c:lineChart>
        <c:grouping val="standard"/>
        <c:varyColors val="0"/>
        <c:ser>
          <c:idx val="0"/>
          <c:order val="0"/>
          <c:tx>
            <c:v>% variation from AVG TTM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'TTM Trendline'!$F$76:$F$134</c:f>
              <c:numCache>
                <c:formatCode>0%</c:formatCode>
                <c:ptCount val="59"/>
                <c:pt idx="0">
                  <c:v>7.589746092807774E-2</c:v>
                </c:pt>
                <c:pt idx="1">
                  <c:v>7.1376883361153054E-2</c:v>
                </c:pt>
                <c:pt idx="2">
                  <c:v>6.4596017010766005E-2</c:v>
                </c:pt>
                <c:pt idx="3">
                  <c:v>6.534944660525345E-2</c:v>
                </c:pt>
                <c:pt idx="4">
                  <c:v>6.534944660525345E-2</c:v>
                </c:pt>
                <c:pt idx="5">
                  <c:v>5.7815150660378962E-2</c:v>
                </c:pt>
                <c:pt idx="6">
                  <c:v>7.5654689169854017E-2</c:v>
                </c:pt>
                <c:pt idx="7">
                  <c:v>5.403544552803359E-2</c:v>
                </c:pt>
                <c:pt idx="8">
                  <c:v>4.226520097415188E-2</c:v>
                </c:pt>
                <c:pt idx="9">
                  <c:v>2.2571388518243828E-2</c:v>
                </c:pt>
                <c:pt idx="10">
                  <c:v>7.808354186259193E-3</c:v>
                </c:pt>
                <c:pt idx="11">
                  <c:v>-1.3852746655254978E-2</c:v>
                </c:pt>
                <c:pt idx="12">
                  <c:v>-4.8510508001677652E-2</c:v>
                </c:pt>
                <c:pt idx="13">
                  <c:v>-3.6434705890031588E-2</c:v>
                </c:pt>
                <c:pt idx="14">
                  <c:v>-2.0646170165550145E-2</c:v>
                </c:pt>
                <c:pt idx="15">
                  <c:v>-2.4677018496058002E-2</c:v>
                </c:pt>
                <c:pt idx="16">
                  <c:v>-7.8755385389878783E-3</c:v>
                </c:pt>
                <c:pt idx="17">
                  <c:v>-2.8013037311649652E-2</c:v>
                </c:pt>
                <c:pt idx="18">
                  <c:v>-3.8975437911442042E-2</c:v>
                </c:pt>
                <c:pt idx="19">
                  <c:v>-2.2161400794463795E-2</c:v>
                </c:pt>
                <c:pt idx="20">
                  <c:v>-1.9239768255840242E-2</c:v>
                </c:pt>
                <c:pt idx="21">
                  <c:v>6.3391664770086663E-3</c:v>
                </c:pt>
                <c:pt idx="22">
                  <c:v>1.0725801004913372E-2</c:v>
                </c:pt>
                <c:pt idx="23">
                  <c:v>2.6803151407281667E-2</c:v>
                </c:pt>
                <c:pt idx="24">
                  <c:v>3.0457284940545795E-2</c:v>
                </c:pt>
                <c:pt idx="25">
                  <c:v>4.1419685540338189E-2</c:v>
                </c:pt>
                <c:pt idx="26">
                  <c:v>4.3617188524259914E-2</c:v>
                </c:pt>
                <c:pt idx="27">
                  <c:v>5.1653770865459372E-2</c:v>
                </c:pt>
                <c:pt idx="28">
                  <c:v>4.1423871260307561E-2</c:v>
                </c:pt>
                <c:pt idx="29">
                  <c:v>2.7535652401922243E-2</c:v>
                </c:pt>
                <c:pt idx="30">
                  <c:v>3.9963054990995783E-2</c:v>
                </c:pt>
                <c:pt idx="31">
                  <c:v>3.7765552007074057E-2</c:v>
                </c:pt>
                <c:pt idx="32">
                  <c:v>3.776973772704343E-2</c:v>
                </c:pt>
                <c:pt idx="33">
                  <c:v>7.8041684662898177E-3</c:v>
                </c:pt>
                <c:pt idx="34">
                  <c:v>-9.0056829307190531E-3</c:v>
                </c:pt>
                <c:pt idx="35">
                  <c:v>-1.1927315469342607E-2</c:v>
                </c:pt>
                <c:pt idx="36">
                  <c:v>-1.3810889455561231E-2</c:v>
                </c:pt>
                <c:pt idx="37">
                  <c:v>-4.1578955732393112E-2</c:v>
                </c:pt>
                <c:pt idx="38">
                  <c:v>-3.8728480433248932E-2</c:v>
                </c:pt>
                <c:pt idx="39">
                  <c:v>-4.3110929241184259E-2</c:v>
                </c:pt>
                <c:pt idx="40">
                  <c:v>-5.2616699291634247E-2</c:v>
                </c:pt>
                <c:pt idx="41">
                  <c:v>-1.9001182217585882E-2</c:v>
                </c:pt>
                <c:pt idx="42">
                  <c:v>-4.1658484411811234E-2</c:v>
                </c:pt>
                <c:pt idx="43">
                  <c:v>-4.3115114961153639E-2</c:v>
                </c:pt>
                <c:pt idx="44">
                  <c:v>-4.3119300681123011E-2</c:v>
                </c:pt>
                <c:pt idx="45">
                  <c:v>-2.9963582817378272E-2</c:v>
                </c:pt>
                <c:pt idx="46">
                  <c:v>-2.5576948289473565E-2</c:v>
                </c:pt>
                <c:pt idx="47">
                  <c:v>-1.4618733409650551E-2</c:v>
                </c:pt>
                <c:pt idx="48">
                  <c:v>-9.0810258901677984E-3</c:v>
                </c:pt>
                <c:pt idx="49">
                  <c:v>2.0880357650616441E-2</c:v>
                </c:pt>
                <c:pt idx="50">
                  <c:v>4.8752995982280929E-4</c:v>
                </c:pt>
                <c:pt idx="51">
                  <c:v>-2.4497103481776653E-4</c:v>
                </c:pt>
                <c:pt idx="52">
                  <c:v>-8.2815533760172266E-3</c:v>
                </c:pt>
                <c:pt idx="53">
                  <c:v>-1.6318135717216686E-2</c:v>
                </c:pt>
                <c:pt idx="54">
                  <c:v>-3.0934669850273204E-2</c:v>
                </c:pt>
                <c:pt idx="55">
                  <c:v>-4.5551203983329722E-2</c:v>
                </c:pt>
                <c:pt idx="56">
                  <c:v>-7.1130138716178626E-2</c:v>
                </c:pt>
                <c:pt idx="57">
                  <c:v>-8.1360038321330444E-2</c:v>
                </c:pt>
                <c:pt idx="58">
                  <c:v>-7.6245088518754542E-2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42-7C41-A175-257DF7552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6556448"/>
        <c:axId val="1133879104"/>
      </c:lineChart>
      <c:catAx>
        <c:axId val="190655644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879104"/>
        <c:crosses val="autoZero"/>
        <c:auto val="1"/>
        <c:lblAlgn val="ctr"/>
        <c:lblOffset val="100"/>
        <c:noMultiLvlLbl val="0"/>
      </c:catAx>
      <c:valAx>
        <c:axId val="1133879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6556448"/>
        <c:crosses val="autoZero"/>
        <c:crossBetween val="between"/>
      </c:valAx>
      <c:spPr>
        <a:noFill/>
        <a:ln>
          <a:noFill/>
        </a:ln>
        <a:effectLst>
          <a:outerShdw blurRad="50800" dist="50800" dir="5400000" algn="ctr" rotWithShape="0">
            <a:schemeClr val="accent2"/>
          </a:outerShdw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673100</xdr:colOff>
      <xdr:row>1</xdr:row>
      <xdr:rowOff>0</xdr:rowOff>
    </xdr:from>
    <xdr:to>
      <xdr:col>16</xdr:col>
      <xdr:colOff>177800</xdr:colOff>
      <xdr:row>37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3F8EC8-8237-F96E-26C5-65E25A951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558800</xdr:colOff>
      <xdr:row>74</xdr:row>
      <xdr:rowOff>127000</xdr:rowOff>
    </xdr:from>
    <xdr:to>
      <xdr:col>18</xdr:col>
      <xdr:colOff>571500</xdr:colOff>
      <xdr:row>107</xdr:row>
      <xdr:rowOff>139700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9C8E04-16A0-4707-5229-5A9844EA6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Norwichfiredistrict1@myfairpoint.ne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F2B7-D0DA-4360-BC5C-C5E085483681}">
  <dimension ref="A1:S85"/>
  <sheetViews>
    <sheetView zoomScale="120" zoomScaleNormal="120" workbookViewId="0">
      <pane ySplit="4" topLeftCell="A75" activePane="bottomLeft" state="frozen"/>
      <selection pane="bottomLeft" activeCell="J3" sqref="J3"/>
    </sheetView>
  </sheetViews>
  <sheetFormatPr baseColWidth="10" defaultColWidth="8.83203125" defaultRowHeight="15" x14ac:dyDescent="0.2"/>
  <cols>
    <col min="1" max="1" width="14.83203125" style="1" customWidth="1"/>
    <col min="2" max="2" width="15" customWidth="1"/>
    <col min="3" max="3" width="15.6640625" style="1" bestFit="1" customWidth="1"/>
    <col min="4" max="4" width="14.33203125" style="1" bestFit="1" customWidth="1"/>
    <col min="5" max="5" width="13" customWidth="1"/>
    <col min="6" max="6" width="11.6640625" customWidth="1"/>
    <col min="7" max="7" width="10.5" customWidth="1"/>
    <col min="8" max="8" width="10.33203125" customWidth="1"/>
    <col min="9" max="10" width="10.5" bestFit="1" customWidth="1"/>
    <col min="11" max="11" width="9.33203125" bestFit="1" customWidth="1"/>
    <col min="14" max="14" width="12.5" customWidth="1"/>
    <col min="16" max="16" width="9.5" bestFit="1" customWidth="1"/>
    <col min="17" max="17" width="11" bestFit="1" customWidth="1"/>
    <col min="19" max="19" width="14.83203125" customWidth="1"/>
  </cols>
  <sheetData>
    <row r="1" spans="1:19" ht="80" x14ac:dyDescent="0.2">
      <c r="A1" s="1" t="s">
        <v>21</v>
      </c>
      <c r="B1" t="s">
        <v>22</v>
      </c>
      <c r="C1" s="1" t="s">
        <v>23</v>
      </c>
      <c r="D1" s="1" t="s">
        <v>24</v>
      </c>
      <c r="E1" s="7" t="s">
        <v>26</v>
      </c>
      <c r="G1" s="6" t="s">
        <v>25</v>
      </c>
      <c r="J1" s="8" t="s">
        <v>27</v>
      </c>
      <c r="K1" s="11" t="s">
        <v>28</v>
      </c>
      <c r="L1" t="s">
        <v>31</v>
      </c>
    </row>
    <row r="2" spans="1:19" ht="71" customHeight="1" x14ac:dyDescent="0.3">
      <c r="A2" s="12" t="s">
        <v>29</v>
      </c>
      <c r="B2" s="13" t="s">
        <v>32</v>
      </c>
      <c r="C2" s="14" t="s">
        <v>30</v>
      </c>
      <c r="D2" s="14" t="s">
        <v>30</v>
      </c>
      <c r="E2" s="9">
        <v>0.16</v>
      </c>
      <c r="G2" s="10">
        <v>0.9</v>
      </c>
      <c r="L2" s="20" t="s">
        <v>33</v>
      </c>
      <c r="P2" s="74" t="s">
        <v>98</v>
      </c>
      <c r="R2" s="1"/>
      <c r="S2" s="1"/>
    </row>
    <row r="3" spans="1:19" x14ac:dyDescent="0.2">
      <c r="A3"/>
      <c r="E3" s="2"/>
      <c r="R3" s="1"/>
      <c r="S3" s="1"/>
    </row>
    <row r="4" spans="1:19" ht="48" x14ac:dyDescent="0.2">
      <c r="A4" t="s">
        <v>0</v>
      </c>
      <c r="B4" t="s">
        <v>1</v>
      </c>
      <c r="C4" s="1" t="s">
        <v>2</v>
      </c>
      <c r="D4" s="1" t="s">
        <v>3</v>
      </c>
      <c r="E4" s="2" t="s">
        <v>34</v>
      </c>
      <c r="F4" s="1" t="s">
        <v>6</v>
      </c>
      <c r="G4" s="1" t="s">
        <v>7</v>
      </c>
      <c r="H4" s="1" t="s">
        <v>78</v>
      </c>
      <c r="I4" s="1" t="s">
        <v>8</v>
      </c>
      <c r="J4" s="1" t="s">
        <v>9</v>
      </c>
      <c r="K4" s="1" t="s">
        <v>10</v>
      </c>
      <c r="L4" s="1"/>
      <c r="M4" s="1" t="s">
        <v>61</v>
      </c>
      <c r="N4" s="1" t="s">
        <v>62</v>
      </c>
      <c r="O4" s="1" t="s">
        <v>67</v>
      </c>
      <c r="P4" s="6" t="s">
        <v>65</v>
      </c>
      <c r="Q4" s="2"/>
      <c r="R4" s="1"/>
      <c r="S4" s="1"/>
    </row>
    <row r="5" spans="1:19" x14ac:dyDescent="0.2">
      <c r="A5" s="1" t="s">
        <v>14</v>
      </c>
      <c r="B5" s="16"/>
      <c r="C5" s="17"/>
      <c r="D5" s="15"/>
      <c r="E5" s="4">
        <f t="shared" ref="E5:E19" si="0">ROUND(D5*$E$2,0)</f>
        <v>0</v>
      </c>
      <c r="F5" s="3">
        <v>0.15417</v>
      </c>
      <c r="G5" s="3">
        <v>0.04</v>
      </c>
      <c r="I5" s="5">
        <f t="shared" ref="I5:I16" si="1">E5*(F5+G5)</f>
        <v>0</v>
      </c>
      <c r="J5" s="5">
        <f>I5*G$2</f>
        <v>0</v>
      </c>
      <c r="K5" s="5">
        <f t="shared" ref="K5:K16" si="2">I5-J5</f>
        <v>0</v>
      </c>
      <c r="Q5" s="2"/>
      <c r="R5" s="1"/>
      <c r="S5" s="1"/>
    </row>
    <row r="6" spans="1:19" x14ac:dyDescent="0.2">
      <c r="A6" s="1" t="s">
        <v>15</v>
      </c>
      <c r="B6" s="16">
        <v>43683</v>
      </c>
      <c r="C6" s="17">
        <v>43755</v>
      </c>
      <c r="D6" s="15">
        <v>36360</v>
      </c>
      <c r="E6" s="4">
        <f t="shared" si="0"/>
        <v>5818</v>
      </c>
      <c r="F6" s="3">
        <v>0.15417</v>
      </c>
      <c r="G6" s="3">
        <v>0.04</v>
      </c>
      <c r="I6" s="5">
        <f t="shared" si="1"/>
        <v>1129.6810600000001</v>
      </c>
      <c r="J6" s="5">
        <f t="shared" ref="J6:J16" si="3">I6*G$2</f>
        <v>1016.7129540000001</v>
      </c>
      <c r="K6" s="5">
        <f t="shared" si="2"/>
        <v>112.96810600000003</v>
      </c>
      <c r="Q6" s="2"/>
      <c r="R6" s="1"/>
      <c r="S6" s="1"/>
    </row>
    <row r="7" spans="1:19" x14ac:dyDescent="0.2">
      <c r="A7" s="1" t="s">
        <v>16</v>
      </c>
      <c r="B7" s="16">
        <v>43755</v>
      </c>
      <c r="C7" s="17">
        <v>43787</v>
      </c>
      <c r="D7" s="15">
        <v>15480</v>
      </c>
      <c r="E7" s="4">
        <f t="shared" si="0"/>
        <v>2477</v>
      </c>
      <c r="F7" s="3">
        <v>0.15417</v>
      </c>
      <c r="G7" s="3">
        <v>0.04</v>
      </c>
      <c r="I7" s="5">
        <f t="shared" si="1"/>
        <v>480.95909</v>
      </c>
      <c r="J7" s="5">
        <f t="shared" si="3"/>
        <v>432.863181</v>
      </c>
      <c r="K7" s="5">
        <f t="shared" si="2"/>
        <v>48.095909000000006</v>
      </c>
      <c r="M7" s="4">
        <f>+SUM(E$6:E7)</f>
        <v>8295</v>
      </c>
      <c r="N7" s="70">
        <f>SUM(K$6:K7)</f>
        <v>161.06401500000004</v>
      </c>
      <c r="Q7" s="2"/>
      <c r="R7" s="1"/>
      <c r="S7" s="1"/>
    </row>
    <row r="8" spans="1:19" x14ac:dyDescent="0.2">
      <c r="A8" s="1" t="s">
        <v>17</v>
      </c>
      <c r="B8" s="19">
        <v>43787</v>
      </c>
      <c r="C8" s="18" t="s">
        <v>58</v>
      </c>
      <c r="D8" s="15">
        <v>9720</v>
      </c>
      <c r="E8" s="4">
        <f t="shared" si="0"/>
        <v>1555</v>
      </c>
      <c r="F8" s="3">
        <v>0.15417</v>
      </c>
      <c r="G8" s="3">
        <v>0.04</v>
      </c>
      <c r="I8" s="5">
        <f t="shared" si="1"/>
        <v>301.93434999999999</v>
      </c>
      <c r="J8" s="5">
        <f t="shared" si="3"/>
        <v>271.74091500000003</v>
      </c>
      <c r="K8" s="5">
        <f t="shared" si="2"/>
        <v>30.193434999999965</v>
      </c>
      <c r="M8" s="4">
        <f>+SUM(E$6:E8)</f>
        <v>9850</v>
      </c>
      <c r="N8" s="70">
        <f>SUM(K$6:K8)</f>
        <v>191.25745000000001</v>
      </c>
    </row>
    <row r="9" spans="1:19" x14ac:dyDescent="0.2">
      <c r="A9" s="1" t="s">
        <v>18</v>
      </c>
      <c r="B9" s="19">
        <v>43816</v>
      </c>
      <c r="C9" s="17">
        <v>43846</v>
      </c>
      <c r="D9" s="15">
        <v>8640</v>
      </c>
      <c r="E9" s="4">
        <f t="shared" si="0"/>
        <v>1382</v>
      </c>
      <c r="F9" s="3">
        <v>0.15417</v>
      </c>
      <c r="G9" s="3">
        <v>0.04</v>
      </c>
      <c r="I9" s="5">
        <f t="shared" si="1"/>
        <v>268.34294</v>
      </c>
      <c r="J9" s="5">
        <f t="shared" si="3"/>
        <v>241.508646</v>
      </c>
      <c r="K9" s="5">
        <f t="shared" si="2"/>
        <v>26.834294</v>
      </c>
      <c r="M9" s="4">
        <f>+SUM(E$6:E9)</f>
        <v>11232</v>
      </c>
      <c r="N9" s="70">
        <f>SUM(K$6:K9)</f>
        <v>218.09174400000001</v>
      </c>
    </row>
    <row r="10" spans="1:19" x14ac:dyDescent="0.2">
      <c r="A10" s="1" t="s">
        <v>19</v>
      </c>
      <c r="B10" s="16">
        <v>43846</v>
      </c>
      <c r="C10" s="17">
        <v>43878</v>
      </c>
      <c r="D10" s="15">
        <v>11700</v>
      </c>
      <c r="E10" s="4">
        <f t="shared" si="0"/>
        <v>1872</v>
      </c>
      <c r="F10" s="3">
        <v>0.15417</v>
      </c>
      <c r="G10" s="3">
        <v>0.04</v>
      </c>
      <c r="I10" s="5">
        <f t="shared" si="1"/>
        <v>363.48624000000001</v>
      </c>
      <c r="J10" s="5">
        <f t="shared" si="3"/>
        <v>327.13761600000004</v>
      </c>
      <c r="K10" s="5">
        <f t="shared" si="2"/>
        <v>36.348623999999973</v>
      </c>
      <c r="M10" s="4">
        <f>+SUM(E$6:E10)</f>
        <v>13104</v>
      </c>
      <c r="N10" s="70">
        <f>SUM(K$6:K10)</f>
        <v>254.44036799999998</v>
      </c>
    </row>
    <row r="11" spans="1:19" x14ac:dyDescent="0.2">
      <c r="A11" s="1" t="s">
        <v>20</v>
      </c>
      <c r="B11" s="16">
        <v>43878</v>
      </c>
      <c r="C11" s="17">
        <v>43907</v>
      </c>
      <c r="D11" s="15">
        <v>22500</v>
      </c>
      <c r="E11" s="4">
        <f t="shared" si="0"/>
        <v>3600</v>
      </c>
      <c r="F11" s="3">
        <v>0.15417</v>
      </c>
      <c r="G11" s="3">
        <v>0.04</v>
      </c>
      <c r="I11" s="5">
        <f t="shared" si="1"/>
        <v>699.01200000000006</v>
      </c>
      <c r="J11" s="5">
        <f t="shared" si="3"/>
        <v>629.11080000000004</v>
      </c>
      <c r="K11" s="5">
        <f t="shared" si="2"/>
        <v>69.901200000000017</v>
      </c>
      <c r="M11" s="4">
        <f>+SUM(E$6:E11)</f>
        <v>16704</v>
      </c>
      <c r="N11" s="70">
        <f>SUM(K$6:K11)</f>
        <v>324.341568</v>
      </c>
    </row>
    <row r="12" spans="1:19" x14ac:dyDescent="0.2">
      <c r="A12" s="1" t="s">
        <v>5</v>
      </c>
      <c r="B12" s="16">
        <v>43907</v>
      </c>
      <c r="C12" s="17">
        <v>43938</v>
      </c>
      <c r="D12" s="15">
        <v>20880</v>
      </c>
      <c r="E12" s="4">
        <f t="shared" si="0"/>
        <v>3341</v>
      </c>
      <c r="F12" s="3">
        <v>0.15417</v>
      </c>
      <c r="G12" s="3">
        <v>0.04</v>
      </c>
      <c r="I12" s="5">
        <f t="shared" si="1"/>
        <v>648.72197000000006</v>
      </c>
      <c r="J12" s="5">
        <f t="shared" si="3"/>
        <v>583.84977300000003</v>
      </c>
      <c r="K12" s="5">
        <f t="shared" si="2"/>
        <v>64.872197000000028</v>
      </c>
      <c r="M12" s="4">
        <f>+SUM(E$6:E12)</f>
        <v>20045</v>
      </c>
      <c r="N12" s="70">
        <f>SUM(K$6:K12)</f>
        <v>389.21376500000002</v>
      </c>
    </row>
    <row r="13" spans="1:19" x14ac:dyDescent="0.2">
      <c r="A13" s="1" t="s">
        <v>4</v>
      </c>
      <c r="B13" s="16">
        <v>43938</v>
      </c>
      <c r="C13" s="17">
        <v>43969</v>
      </c>
      <c r="D13" s="15">
        <v>26640</v>
      </c>
      <c r="E13" s="4">
        <f t="shared" si="0"/>
        <v>4262</v>
      </c>
      <c r="F13" s="3">
        <v>0.15417</v>
      </c>
      <c r="G13" s="3">
        <v>0.04</v>
      </c>
      <c r="I13" s="5">
        <f t="shared" si="1"/>
        <v>827.55254000000002</v>
      </c>
      <c r="J13" s="5">
        <f t="shared" si="3"/>
        <v>744.79728599999999</v>
      </c>
      <c r="K13" s="5">
        <f t="shared" si="2"/>
        <v>82.755254000000036</v>
      </c>
      <c r="M13" s="4">
        <f>+SUM(E$6:E13)</f>
        <v>24307</v>
      </c>
      <c r="N13" s="70">
        <f>SUM(K$6:K13)</f>
        <v>471.96901900000006</v>
      </c>
    </row>
    <row r="14" spans="1:19" x14ac:dyDescent="0.2">
      <c r="A14" s="1" t="s">
        <v>11</v>
      </c>
      <c r="B14" s="16">
        <v>43969</v>
      </c>
      <c r="C14" s="17">
        <v>43999</v>
      </c>
      <c r="D14" s="15">
        <v>29700</v>
      </c>
      <c r="E14" s="4">
        <f t="shared" si="0"/>
        <v>4752</v>
      </c>
      <c r="F14" s="3">
        <v>0.15417</v>
      </c>
      <c r="G14" s="3">
        <v>0.04</v>
      </c>
      <c r="I14" s="5">
        <f t="shared" si="1"/>
        <v>922.69584000000009</v>
      </c>
      <c r="J14" s="5">
        <f t="shared" si="3"/>
        <v>830.42625600000008</v>
      </c>
      <c r="K14" s="5">
        <f t="shared" si="2"/>
        <v>92.269584000000009</v>
      </c>
      <c r="M14" s="4">
        <f>+SUM(E$6:E14)</f>
        <v>29059</v>
      </c>
      <c r="N14" s="70">
        <f>SUM(K$6:K14)</f>
        <v>564.23860300000001</v>
      </c>
    </row>
    <row r="15" spans="1:19" x14ac:dyDescent="0.2">
      <c r="A15" s="1" t="s">
        <v>12</v>
      </c>
      <c r="B15" s="16">
        <v>43999</v>
      </c>
      <c r="C15" s="17">
        <v>44029</v>
      </c>
      <c r="D15" s="15">
        <v>28800</v>
      </c>
      <c r="E15" s="4">
        <f t="shared" si="0"/>
        <v>4608</v>
      </c>
      <c r="F15" s="3">
        <v>0.15417</v>
      </c>
      <c r="G15" s="3">
        <v>0.04</v>
      </c>
      <c r="I15" s="5">
        <f t="shared" si="1"/>
        <v>894.73536000000001</v>
      </c>
      <c r="J15" s="5">
        <f t="shared" si="3"/>
        <v>805.26182400000005</v>
      </c>
      <c r="K15" s="5">
        <f t="shared" si="2"/>
        <v>89.473535999999967</v>
      </c>
      <c r="M15" s="4">
        <f>+SUM(E$6:E15)</f>
        <v>33667</v>
      </c>
      <c r="N15" s="70">
        <f>SUM(K$6:K15)</f>
        <v>653.71213899999998</v>
      </c>
    </row>
    <row r="16" spans="1:19" ht="16" thickBot="1" x14ac:dyDescent="0.25">
      <c r="A16" s="57" t="s">
        <v>13</v>
      </c>
      <c r="B16" s="58">
        <v>44029</v>
      </c>
      <c r="C16" s="59">
        <v>44061</v>
      </c>
      <c r="D16" s="60">
        <v>30240</v>
      </c>
      <c r="E16" s="61">
        <f t="shared" si="0"/>
        <v>4838</v>
      </c>
      <c r="F16" s="62">
        <v>0.15417</v>
      </c>
      <c r="G16" s="62">
        <v>0.04</v>
      </c>
      <c r="H16" s="63"/>
      <c r="I16" s="64">
        <f t="shared" si="1"/>
        <v>939.39446000000009</v>
      </c>
      <c r="J16" s="64">
        <f t="shared" si="3"/>
        <v>845.45501400000012</v>
      </c>
      <c r="K16" s="64">
        <f t="shared" si="2"/>
        <v>93.939445999999975</v>
      </c>
      <c r="M16" s="4">
        <f>+SUM(E$6:E16)</f>
        <v>38505</v>
      </c>
      <c r="N16" s="70">
        <f>SUM(K$6:K16)</f>
        <v>747.65158499999995</v>
      </c>
    </row>
    <row r="17" spans="1:16" x14ac:dyDescent="0.2">
      <c r="A17" s="1" t="s">
        <v>14</v>
      </c>
      <c r="B17" s="16">
        <v>44061</v>
      </c>
      <c r="C17" s="17">
        <v>44091</v>
      </c>
      <c r="D17" s="15">
        <v>27000</v>
      </c>
      <c r="E17" s="4">
        <f t="shared" si="0"/>
        <v>4320</v>
      </c>
      <c r="F17" s="3">
        <v>0.15417</v>
      </c>
      <c r="G17" s="3">
        <v>0.04</v>
      </c>
      <c r="I17" s="65">
        <f t="shared" ref="I17" si="4">E17*(F17+G17)</f>
        <v>838.81440000000009</v>
      </c>
      <c r="J17" s="65">
        <f t="shared" ref="J17" si="5">I17*G$2</f>
        <v>754.93296000000009</v>
      </c>
      <c r="K17" s="65">
        <f t="shared" ref="K17" si="6">I17-J17</f>
        <v>83.881439999999998</v>
      </c>
      <c r="M17" s="4">
        <f>+SUM(E$6:E17)</f>
        <v>42825</v>
      </c>
      <c r="N17" s="70">
        <f>SUM(K$6:K17)</f>
        <v>831.53302499999995</v>
      </c>
    </row>
    <row r="18" spans="1:16" x14ac:dyDescent="0.2">
      <c r="A18" s="1" t="s">
        <v>15</v>
      </c>
      <c r="B18" s="16">
        <v>44091</v>
      </c>
      <c r="C18" s="17">
        <v>44123</v>
      </c>
      <c r="D18" s="15">
        <v>25740</v>
      </c>
      <c r="E18" s="4">
        <f t="shared" si="0"/>
        <v>4118</v>
      </c>
      <c r="F18" s="3">
        <v>0.15417</v>
      </c>
      <c r="G18" s="3">
        <v>0.04</v>
      </c>
      <c r="I18" s="65">
        <f t="shared" ref="I18" si="7">E18*(F18+G18)</f>
        <v>799.59206000000006</v>
      </c>
      <c r="J18" s="65">
        <f t="shared" ref="J18" si="8">I18*G$2</f>
        <v>719.63285400000007</v>
      </c>
      <c r="K18" s="65">
        <f t="shared" ref="K18" si="9">I18-J18</f>
        <v>79.959205999999995</v>
      </c>
      <c r="M18" s="4">
        <f>+SUM(E$6:E18)</f>
        <v>46943</v>
      </c>
      <c r="N18" s="70">
        <f>SUM(K$6:K18)</f>
        <v>911.49223099999995</v>
      </c>
    </row>
    <row r="19" spans="1:16" x14ac:dyDescent="0.2">
      <c r="A19" s="1" t="s">
        <v>16</v>
      </c>
      <c r="B19" s="16">
        <v>44123</v>
      </c>
      <c r="C19" s="17">
        <v>44153</v>
      </c>
      <c r="D19" s="15">
        <v>14400</v>
      </c>
      <c r="E19" s="4">
        <f t="shared" si="0"/>
        <v>2304</v>
      </c>
      <c r="F19" s="3">
        <v>0.15417</v>
      </c>
      <c r="G19" s="3">
        <v>0.04</v>
      </c>
      <c r="I19" s="65">
        <f t="shared" ref="I19" si="10">E19*(F19+G19)</f>
        <v>447.36768000000001</v>
      </c>
      <c r="J19" s="65">
        <f t="shared" ref="J19" si="11">I19*G$2</f>
        <v>402.63091200000002</v>
      </c>
      <c r="K19" s="65">
        <f t="shared" ref="K19" si="12">I19-J19</f>
        <v>44.736767999999984</v>
      </c>
      <c r="M19" s="4">
        <f>+SUM(E$6:E19)</f>
        <v>49247</v>
      </c>
      <c r="N19" s="70">
        <f>SUM(K$6:K19)</f>
        <v>956.22899899999993</v>
      </c>
    </row>
    <row r="20" spans="1:16" x14ac:dyDescent="0.2">
      <c r="A20" s="1" t="s">
        <v>17</v>
      </c>
      <c r="B20" s="16">
        <v>44153</v>
      </c>
      <c r="C20" s="17">
        <v>44181</v>
      </c>
      <c r="D20" s="15">
        <v>8100</v>
      </c>
      <c r="E20" s="4">
        <f t="shared" ref="E20:E28" si="13">ROUND(D20*$E$2,0)</f>
        <v>1296</v>
      </c>
      <c r="F20" s="3">
        <v>0.15417</v>
      </c>
      <c r="G20" s="3">
        <v>0.04</v>
      </c>
      <c r="I20" s="65">
        <f t="shared" ref="I20" si="14">E20*(F20+G20)</f>
        <v>251.64432000000002</v>
      </c>
      <c r="J20" s="65">
        <f t="shared" ref="J20" si="15">I20*G$2</f>
        <v>226.47988800000002</v>
      </c>
      <c r="K20" s="65">
        <f t="shared" ref="K20" si="16">I20-J20</f>
        <v>25.164432000000005</v>
      </c>
      <c r="M20" s="4">
        <f>+SUM(E$6:E20)</f>
        <v>50543</v>
      </c>
      <c r="N20" s="70">
        <f>SUM(K$6:K20)</f>
        <v>981.39343099999996</v>
      </c>
    </row>
    <row r="21" spans="1:16" x14ac:dyDescent="0.2">
      <c r="A21" s="1" t="s">
        <v>18</v>
      </c>
      <c r="B21" s="16">
        <v>44181</v>
      </c>
      <c r="C21" s="17">
        <v>44211</v>
      </c>
      <c r="D21" s="15">
        <v>8820</v>
      </c>
      <c r="E21" s="4">
        <f t="shared" si="13"/>
        <v>1411</v>
      </c>
      <c r="F21" s="3">
        <v>0.15417</v>
      </c>
      <c r="G21" s="3">
        <v>0.04</v>
      </c>
      <c r="I21" s="65">
        <f t="shared" ref="I21:I22" si="17">E21*(F21+G21)</f>
        <v>273.97387000000003</v>
      </c>
      <c r="J21" s="65">
        <f t="shared" ref="J21:J22" si="18">I21*G$2</f>
        <v>246.57648300000002</v>
      </c>
      <c r="K21" s="65">
        <f t="shared" ref="K21:K22" si="19">I21-J21</f>
        <v>27.397387000000009</v>
      </c>
      <c r="M21" s="4">
        <f>+SUM(E$6:E21)</f>
        <v>51954</v>
      </c>
      <c r="N21" s="70">
        <f>SUM(K$6:K21)</f>
        <v>1008.7908179999999</v>
      </c>
    </row>
    <row r="22" spans="1:16" x14ac:dyDescent="0.2">
      <c r="A22" s="1" t="s">
        <v>19</v>
      </c>
      <c r="B22" s="66">
        <v>44211</v>
      </c>
      <c r="C22" s="67">
        <v>44243</v>
      </c>
      <c r="D22" s="1">
        <v>11700</v>
      </c>
      <c r="E22" s="4">
        <f t="shared" si="13"/>
        <v>1872</v>
      </c>
      <c r="F22" s="3">
        <v>0.16413</v>
      </c>
      <c r="G22" s="3">
        <v>0.04</v>
      </c>
      <c r="I22" s="68">
        <f t="shared" si="17"/>
        <v>382.13136000000003</v>
      </c>
      <c r="J22" s="68">
        <f t="shared" si="18"/>
        <v>343.91822400000001</v>
      </c>
      <c r="K22" s="68">
        <f t="shared" si="19"/>
        <v>38.21313600000002</v>
      </c>
      <c r="M22" s="4">
        <f>+SUM(E$6:E22)</f>
        <v>53826</v>
      </c>
      <c r="N22" s="70">
        <f>SUM(K$6:K22)</f>
        <v>1047.003954</v>
      </c>
    </row>
    <row r="23" spans="1:16" x14ac:dyDescent="0.2">
      <c r="A23" s="1" t="s">
        <v>20</v>
      </c>
      <c r="B23" s="66">
        <v>44243</v>
      </c>
      <c r="C23" s="67">
        <v>44272</v>
      </c>
      <c r="D23" s="1">
        <v>20700</v>
      </c>
      <c r="E23" s="4">
        <f t="shared" si="13"/>
        <v>3312</v>
      </c>
      <c r="F23" s="3">
        <v>0.16413</v>
      </c>
      <c r="G23" s="3">
        <v>0.04</v>
      </c>
      <c r="I23" s="68">
        <f t="shared" ref="I23" si="20">E23*(F23+G23)</f>
        <v>676.07856000000004</v>
      </c>
      <c r="J23" s="68">
        <f t="shared" ref="J23" si="21">I23*G$2</f>
        <v>608.47070400000007</v>
      </c>
      <c r="K23" s="68">
        <f t="shared" ref="K23" si="22">I23-J23</f>
        <v>67.60785599999997</v>
      </c>
      <c r="M23" s="4">
        <f>+SUM(E$6:E23)</f>
        <v>57138</v>
      </c>
      <c r="N23" s="70">
        <f>SUM(K$6:K23)</f>
        <v>1114.6118099999999</v>
      </c>
    </row>
    <row r="24" spans="1:16" x14ac:dyDescent="0.2">
      <c r="A24" s="1" t="s">
        <v>5</v>
      </c>
      <c r="B24" s="66">
        <v>44272</v>
      </c>
      <c r="C24" s="67">
        <v>44302</v>
      </c>
      <c r="D24" s="1">
        <v>25142</v>
      </c>
      <c r="E24" s="4">
        <f t="shared" si="13"/>
        <v>4023</v>
      </c>
      <c r="F24" s="3">
        <v>0.16413</v>
      </c>
      <c r="G24" s="3">
        <v>0.04</v>
      </c>
      <c r="I24" s="68">
        <f t="shared" ref="I24" si="23">E24*(F24+G24)</f>
        <v>821.21499000000006</v>
      </c>
      <c r="J24" s="68">
        <f t="shared" ref="J24" si="24">I24*G$2</f>
        <v>739.09349100000009</v>
      </c>
      <c r="K24" s="68">
        <f t="shared" ref="K24" si="25">I24-J24</f>
        <v>82.121498999999972</v>
      </c>
      <c r="M24" s="4">
        <f>+SUM(E$6:E24)</f>
        <v>61161</v>
      </c>
      <c r="N24" s="70">
        <f>SUM(K$6:K24)</f>
        <v>1196.7333089999997</v>
      </c>
    </row>
    <row r="25" spans="1:16" x14ac:dyDescent="0.2">
      <c r="A25" s="1" t="s">
        <v>4</v>
      </c>
      <c r="B25" s="66">
        <v>44302</v>
      </c>
      <c r="C25" s="67">
        <v>44334</v>
      </c>
      <c r="D25" s="1">
        <v>21475</v>
      </c>
      <c r="E25" s="4">
        <f t="shared" si="13"/>
        <v>3436</v>
      </c>
      <c r="F25" s="3">
        <v>0.16413</v>
      </c>
      <c r="G25" s="3">
        <v>0.04</v>
      </c>
      <c r="I25" s="68">
        <f t="shared" ref="I25" si="26">E25*(F25+G25)</f>
        <v>701.39067999999997</v>
      </c>
      <c r="J25" s="68">
        <f t="shared" ref="J25" si="27">I25*G$2</f>
        <v>631.25161200000002</v>
      </c>
      <c r="K25" s="68">
        <f t="shared" ref="K25" si="28">I25-J25</f>
        <v>70.139067999999952</v>
      </c>
      <c r="M25" s="4">
        <f>+SUM(E$6:E25)</f>
        <v>64597</v>
      </c>
      <c r="N25" s="70">
        <f>SUM(K$6:K25)</f>
        <v>1266.8723769999997</v>
      </c>
    </row>
    <row r="26" spans="1:16" x14ac:dyDescent="0.2">
      <c r="A26" s="1" t="s">
        <v>11</v>
      </c>
      <c r="B26" s="66">
        <v>44334</v>
      </c>
      <c r="C26" s="67">
        <v>44364</v>
      </c>
      <c r="D26" s="1">
        <v>26888</v>
      </c>
      <c r="E26" s="4">
        <f t="shared" si="13"/>
        <v>4302</v>
      </c>
      <c r="F26" s="3">
        <v>0.16413</v>
      </c>
      <c r="G26" s="3">
        <v>0.04</v>
      </c>
      <c r="I26" s="68">
        <f t="shared" ref="I26" si="29">E26*(F26+G26)</f>
        <v>878.16726000000006</v>
      </c>
      <c r="J26" s="68">
        <f t="shared" ref="J26" si="30">I26*G$2</f>
        <v>790.35053400000004</v>
      </c>
      <c r="K26" s="68">
        <f t="shared" ref="K26" si="31">I26-J26</f>
        <v>87.816726000000017</v>
      </c>
      <c r="M26" s="4">
        <f>+SUM(E$6:E26)</f>
        <v>68899</v>
      </c>
      <c r="N26" s="70">
        <f>SUM(K$6:K26)</f>
        <v>1354.6891029999997</v>
      </c>
    </row>
    <row r="27" spans="1:16" x14ac:dyDescent="0.2">
      <c r="A27" s="1" t="s">
        <v>12</v>
      </c>
      <c r="B27" s="66">
        <v>44364</v>
      </c>
      <c r="C27" s="67">
        <v>44396</v>
      </c>
      <c r="D27" s="1">
        <v>24095</v>
      </c>
      <c r="E27" s="4">
        <f t="shared" si="13"/>
        <v>3855</v>
      </c>
      <c r="F27" s="3">
        <v>0.16413</v>
      </c>
      <c r="G27" s="3">
        <v>0.04</v>
      </c>
      <c r="I27" s="68">
        <f t="shared" ref="I27" si="32">E27*(F27+G27)</f>
        <v>786.92115000000001</v>
      </c>
      <c r="J27" s="68">
        <f t="shared" ref="J27" si="33">I27*G$2</f>
        <v>708.22903500000007</v>
      </c>
      <c r="K27" s="68">
        <f t="shared" ref="K27" si="34">I27-J27</f>
        <v>78.692114999999944</v>
      </c>
      <c r="M27" s="4">
        <f>+SUM(E$6:E27)</f>
        <v>72754</v>
      </c>
      <c r="N27" s="70">
        <f>SUM(K$6:K27)</f>
        <v>1433.3812179999995</v>
      </c>
    </row>
    <row r="28" spans="1:16" x14ac:dyDescent="0.2">
      <c r="A28" s="1" t="s">
        <v>13</v>
      </c>
      <c r="B28" s="66">
        <v>44396</v>
      </c>
      <c r="C28" s="67">
        <v>44426</v>
      </c>
      <c r="D28" s="1">
        <v>26713</v>
      </c>
      <c r="E28" s="4">
        <f t="shared" si="13"/>
        <v>4274</v>
      </c>
      <c r="F28" s="3">
        <v>0.16413</v>
      </c>
      <c r="G28" s="3">
        <v>0.04</v>
      </c>
      <c r="I28" s="68">
        <f t="shared" ref="I28" si="35">E28*(F28+G28)</f>
        <v>872.45162000000005</v>
      </c>
      <c r="J28" s="68">
        <f t="shared" ref="J28" si="36">I28*G$2</f>
        <v>785.20645800000011</v>
      </c>
      <c r="K28" s="68">
        <f t="shared" ref="K28" si="37">I28-J28</f>
        <v>87.245161999999937</v>
      </c>
      <c r="M28" s="4">
        <f>+SUM(E$6:E28)</f>
        <v>77028</v>
      </c>
      <c r="N28" s="70">
        <f>SUM(K$6:K28)</f>
        <v>1520.6263799999995</v>
      </c>
    </row>
    <row r="29" spans="1:16" x14ac:dyDescent="0.2">
      <c r="A29" s="1" t="s">
        <v>14</v>
      </c>
      <c r="B29" s="66">
        <v>44426</v>
      </c>
      <c r="C29" s="67">
        <v>44456</v>
      </c>
      <c r="D29" s="1">
        <v>21825</v>
      </c>
      <c r="E29" s="4">
        <f t="shared" ref="E29:E30" si="38">ROUND(D29*$E$2,0)</f>
        <v>3492</v>
      </c>
      <c r="F29" s="3">
        <v>0.16413</v>
      </c>
      <c r="G29" s="3">
        <v>0.04</v>
      </c>
      <c r="I29" s="68">
        <f t="shared" ref="I29" si="39">E29*(F29+G29)</f>
        <v>712.82195999999999</v>
      </c>
      <c r="J29" s="68">
        <f t="shared" ref="J29" si="40">I29*G$2</f>
        <v>641.53976399999999</v>
      </c>
      <c r="K29" s="68">
        <f t="shared" ref="K29" si="41">I29-J29</f>
        <v>71.282195999999999</v>
      </c>
      <c r="M29" s="4">
        <f>+SUM(E$6:E29)</f>
        <v>80520</v>
      </c>
      <c r="N29" s="70">
        <f>SUM(K$6:K29)</f>
        <v>1591.9085759999994</v>
      </c>
    </row>
    <row r="30" spans="1:16" x14ac:dyDescent="0.2">
      <c r="A30" s="1" t="s">
        <v>15</v>
      </c>
      <c r="B30" s="66">
        <v>44456</v>
      </c>
      <c r="C30" s="67">
        <v>44487</v>
      </c>
      <c r="D30" s="1">
        <v>17460</v>
      </c>
      <c r="E30" s="4">
        <f t="shared" si="38"/>
        <v>2794</v>
      </c>
      <c r="F30" s="3">
        <v>0.16413</v>
      </c>
      <c r="G30" s="3">
        <v>0.04</v>
      </c>
      <c r="I30" s="68">
        <f t="shared" ref="I30" si="42">E30*(F30+G30)</f>
        <v>570.33922000000007</v>
      </c>
      <c r="J30" s="68">
        <f t="shared" ref="J30" si="43">I30*G$2</f>
        <v>513.30529800000011</v>
      </c>
      <c r="K30" s="68">
        <f t="shared" ref="K30" si="44">I30-J30</f>
        <v>57.033921999999961</v>
      </c>
      <c r="M30" s="4">
        <f>+SUM(E$6:E30)</f>
        <v>83314</v>
      </c>
      <c r="N30" s="70">
        <f>SUM(K$6:K30)</f>
        <v>1648.9424979999994</v>
      </c>
    </row>
    <row r="31" spans="1:16" x14ac:dyDescent="0.2">
      <c r="A31" s="1" t="s">
        <v>16</v>
      </c>
      <c r="B31" s="66">
        <v>44487</v>
      </c>
      <c r="C31" s="67">
        <v>44517</v>
      </c>
      <c r="D31" s="1">
        <v>17285</v>
      </c>
      <c r="E31" s="4">
        <f t="shared" ref="E31" si="45">ROUND(D31*$E$2,0)</f>
        <v>2766</v>
      </c>
      <c r="F31" s="3">
        <v>0.16413</v>
      </c>
      <c r="G31" s="3">
        <v>0.04</v>
      </c>
      <c r="I31" s="68">
        <f t="shared" ref="I31" si="46">E31*(F31+G31)</f>
        <v>564.62358000000006</v>
      </c>
      <c r="J31" s="68">
        <f t="shared" ref="J31" si="47">I31*G$2</f>
        <v>508.16122200000007</v>
      </c>
      <c r="K31" s="68">
        <f t="shared" ref="K31" si="48">I31-J31</f>
        <v>56.462357999999995</v>
      </c>
      <c r="L31" s="66"/>
      <c r="M31" s="4">
        <f>+SUM(E$6:E31)</f>
        <v>86080</v>
      </c>
      <c r="N31" s="70">
        <f>SUM(K$6:K31)</f>
        <v>1705.4048559999994</v>
      </c>
      <c r="P31" s="66">
        <v>44915</v>
      </c>
    </row>
    <row r="32" spans="1:16" x14ac:dyDescent="0.2">
      <c r="A32" s="1" t="s">
        <v>17</v>
      </c>
      <c r="B32" s="66">
        <v>44517</v>
      </c>
      <c r="C32" s="67">
        <v>44546</v>
      </c>
      <c r="D32" s="1">
        <v>11872</v>
      </c>
      <c r="E32" s="4">
        <f t="shared" ref="E32:E39" si="49">ROUND(D32*$E$2,0)</f>
        <v>1900</v>
      </c>
      <c r="F32" s="3">
        <v>0.16413</v>
      </c>
      <c r="G32" s="3">
        <v>0.04</v>
      </c>
      <c r="I32" s="68">
        <f t="shared" ref="I32" si="50">E32*(F32+G32)</f>
        <v>387.84700000000004</v>
      </c>
      <c r="J32" s="68">
        <f t="shared" ref="J32" si="51">I32*G$2</f>
        <v>349.06230000000005</v>
      </c>
      <c r="K32" s="68">
        <f t="shared" ref="K32" si="52">I32-J32</f>
        <v>38.784699999999987</v>
      </c>
      <c r="L32" s="66"/>
      <c r="M32" s="4">
        <f>+SUM(E$6:E32)</f>
        <v>87980</v>
      </c>
      <c r="N32" s="70">
        <f>SUM(K$6:K32)</f>
        <v>1744.1895559999994</v>
      </c>
      <c r="O32" t="s">
        <v>76</v>
      </c>
      <c r="P32" s="66">
        <v>44582</v>
      </c>
    </row>
    <row r="33" spans="1:17" x14ac:dyDescent="0.2">
      <c r="A33" s="1" t="s">
        <v>18</v>
      </c>
      <c r="B33" s="66">
        <v>44546</v>
      </c>
      <c r="C33" s="67">
        <v>44578</v>
      </c>
      <c r="D33" s="1">
        <v>7857</v>
      </c>
      <c r="E33" s="4">
        <f t="shared" si="49"/>
        <v>1257</v>
      </c>
      <c r="F33" s="3">
        <v>0.16413</v>
      </c>
      <c r="G33" s="3">
        <v>0.04</v>
      </c>
      <c r="I33" s="68">
        <f t="shared" ref="I33" si="53">E33*(F33+G33)</f>
        <v>256.59141</v>
      </c>
      <c r="J33" s="68">
        <f t="shared" ref="J33" si="54">I33*G$2</f>
        <v>230.93226899999999</v>
      </c>
      <c r="K33" s="68">
        <f t="shared" ref="K33" si="55">I33-J33</f>
        <v>25.659141000000005</v>
      </c>
      <c r="L33" s="66"/>
      <c r="M33" s="4">
        <f>+SUM(E$6:E33)</f>
        <v>89237</v>
      </c>
      <c r="N33" s="70">
        <f>SUM(K$6:K33)</f>
        <v>1769.8486969999994</v>
      </c>
      <c r="O33" t="s">
        <v>75</v>
      </c>
      <c r="P33" s="66">
        <v>44611</v>
      </c>
    </row>
    <row r="34" spans="1:17" x14ac:dyDescent="0.2">
      <c r="A34" s="1" t="s">
        <v>19</v>
      </c>
      <c r="B34" s="66">
        <v>44578</v>
      </c>
      <c r="C34" s="67">
        <v>44608</v>
      </c>
      <c r="D34" s="1">
        <v>15714</v>
      </c>
      <c r="E34" s="4">
        <f t="shared" si="49"/>
        <v>2514</v>
      </c>
      <c r="F34" s="3">
        <v>0.16413</v>
      </c>
      <c r="G34" s="3">
        <v>0.04</v>
      </c>
      <c r="I34" s="68">
        <f t="shared" ref="I34" si="56">E34*(F34+G34)</f>
        <v>513.18281999999999</v>
      </c>
      <c r="J34" s="68">
        <f t="shared" ref="J34" si="57">I34*G$2</f>
        <v>461.86453799999998</v>
      </c>
      <c r="K34" s="68">
        <f t="shared" ref="K34" si="58">I34-J34</f>
        <v>51.318282000000011</v>
      </c>
      <c r="L34" s="66"/>
      <c r="M34" s="4">
        <f>+SUM(E$6:E34)</f>
        <v>91751</v>
      </c>
      <c r="N34" s="70">
        <f>SUM(K$6:K34)</f>
        <v>1821.1669789999994</v>
      </c>
      <c r="O34" t="s">
        <v>74</v>
      </c>
      <c r="P34" s="66">
        <v>44644</v>
      </c>
    </row>
    <row r="35" spans="1:17" x14ac:dyDescent="0.2">
      <c r="A35" s="1" t="s">
        <v>20</v>
      </c>
      <c r="B35" s="66">
        <v>44608</v>
      </c>
      <c r="C35" s="67">
        <v>44637</v>
      </c>
      <c r="D35" s="1">
        <v>15889</v>
      </c>
      <c r="E35" s="4">
        <f t="shared" si="49"/>
        <v>2542</v>
      </c>
      <c r="F35" s="3">
        <v>0.16413</v>
      </c>
      <c r="G35" s="3">
        <v>0.04</v>
      </c>
      <c r="I35" s="68">
        <f t="shared" ref="I35" si="59">E35*(F35+G35)</f>
        <v>518.89846</v>
      </c>
      <c r="J35" s="68">
        <f t="shared" ref="J35" si="60">I35*G$2</f>
        <v>467.00861400000002</v>
      </c>
      <c r="K35" s="68">
        <f t="shared" ref="K35" si="61">I35-J35</f>
        <v>51.889845999999977</v>
      </c>
      <c r="L35" s="66"/>
      <c r="M35" s="4">
        <f>+SUM(E$6:E35)</f>
        <v>94293</v>
      </c>
      <c r="N35" s="70">
        <f>SUM(K$6:K35)</f>
        <v>1873.0568249999994</v>
      </c>
      <c r="O35" t="s">
        <v>73</v>
      </c>
      <c r="P35" s="66">
        <v>44671</v>
      </c>
    </row>
    <row r="36" spans="1:17" x14ac:dyDescent="0.2">
      <c r="A36" s="1" t="s">
        <v>5</v>
      </c>
      <c r="B36" s="66">
        <v>44637</v>
      </c>
      <c r="C36" s="67">
        <v>44670</v>
      </c>
      <c r="D36" s="1">
        <v>22523</v>
      </c>
      <c r="E36" s="4">
        <f t="shared" si="49"/>
        <v>3604</v>
      </c>
      <c r="F36" s="3">
        <v>0.16413</v>
      </c>
      <c r="G36" s="3">
        <v>0.04</v>
      </c>
      <c r="I36" s="68">
        <f t="shared" ref="I36" si="62">E36*(F36+G36)</f>
        <v>735.68452000000002</v>
      </c>
      <c r="J36" s="68">
        <f t="shared" ref="J36" si="63">I36*G$2</f>
        <v>662.11606800000004</v>
      </c>
      <c r="K36" s="68">
        <f t="shared" ref="K36" si="64">I36-J36</f>
        <v>73.568451999999979</v>
      </c>
      <c r="L36" s="66"/>
      <c r="M36" s="4">
        <f>+SUM(E$6:E36)</f>
        <v>97897</v>
      </c>
      <c r="N36" s="70">
        <f>SUM(K$6:K36)</f>
        <v>1946.6252769999994</v>
      </c>
      <c r="O36" t="s">
        <v>72</v>
      </c>
      <c r="P36" s="66">
        <v>44704</v>
      </c>
    </row>
    <row r="37" spans="1:17" x14ac:dyDescent="0.2">
      <c r="A37" s="1" t="s">
        <v>4</v>
      </c>
      <c r="B37" s="66">
        <v>44670</v>
      </c>
      <c r="C37" s="67">
        <v>44699</v>
      </c>
      <c r="D37" s="1">
        <v>25492</v>
      </c>
      <c r="E37" s="4">
        <f t="shared" si="49"/>
        <v>4079</v>
      </c>
      <c r="F37" s="3">
        <v>0.16413</v>
      </c>
      <c r="G37" s="3">
        <v>0.04</v>
      </c>
      <c r="I37" s="68">
        <f t="shared" ref="I37:I39" si="65">E37*(F37+G37)</f>
        <v>832.64627000000007</v>
      </c>
      <c r="J37" s="68">
        <f t="shared" ref="J37:J39" si="66">I37*G$2</f>
        <v>749.38164300000005</v>
      </c>
      <c r="K37" s="68">
        <f t="shared" ref="K37:K39" si="67">I37-J37</f>
        <v>83.264627000000019</v>
      </c>
      <c r="L37" s="66"/>
      <c r="M37" s="4">
        <f>+SUM(E$6:E37)</f>
        <v>101976</v>
      </c>
      <c r="N37" s="70">
        <f>SUM(K$6:K37)</f>
        <v>2029.8899039999994</v>
      </c>
      <c r="O37" t="s">
        <v>71</v>
      </c>
      <c r="P37" s="16">
        <v>44838</v>
      </c>
      <c r="Q37" t="s">
        <v>77</v>
      </c>
    </row>
    <row r="38" spans="1:17" x14ac:dyDescent="0.2">
      <c r="A38" s="1" t="s">
        <v>11</v>
      </c>
      <c r="B38" s="66">
        <v>44699</v>
      </c>
      <c r="C38" s="67">
        <v>44729</v>
      </c>
      <c r="D38" s="1">
        <v>27586</v>
      </c>
      <c r="E38" s="4">
        <f t="shared" si="49"/>
        <v>4414</v>
      </c>
      <c r="F38" s="3">
        <v>0.16413</v>
      </c>
      <c r="G38" s="3">
        <v>0.04</v>
      </c>
      <c r="I38" s="68">
        <f t="shared" si="65"/>
        <v>901.02981999999997</v>
      </c>
      <c r="J38" s="68">
        <f t="shared" si="66"/>
        <v>810.92683799999998</v>
      </c>
      <c r="K38" s="68">
        <f t="shared" si="67"/>
        <v>90.102981999999997</v>
      </c>
      <c r="L38" s="66"/>
      <c r="M38" s="4">
        <f>+SUM(E$6:E38)</f>
        <v>106390</v>
      </c>
      <c r="N38" s="70">
        <f>SUM(K$6:K38)</f>
        <v>2119.9928859999995</v>
      </c>
      <c r="O38" t="s">
        <v>70</v>
      </c>
      <c r="P38" s="66">
        <v>44769</v>
      </c>
    </row>
    <row r="39" spans="1:17" x14ac:dyDescent="0.2">
      <c r="A39" s="1" t="s">
        <v>12</v>
      </c>
      <c r="B39" s="66">
        <v>44729</v>
      </c>
      <c r="C39" s="67">
        <v>44761</v>
      </c>
      <c r="D39" s="1">
        <v>30206</v>
      </c>
      <c r="E39" s="4">
        <f t="shared" si="49"/>
        <v>4833</v>
      </c>
      <c r="F39" s="3">
        <v>0.16413</v>
      </c>
      <c r="G39" s="3">
        <v>0.04</v>
      </c>
      <c r="I39" s="68">
        <f t="shared" si="65"/>
        <v>986.56029000000001</v>
      </c>
      <c r="J39" s="68">
        <f t="shared" si="66"/>
        <v>887.90426100000002</v>
      </c>
      <c r="K39" s="68">
        <f t="shared" si="67"/>
        <v>98.65602899999999</v>
      </c>
      <c r="L39" s="66"/>
      <c r="M39" s="4">
        <f>+SUM(E$6:E39)</f>
        <v>111223</v>
      </c>
      <c r="N39" s="70">
        <f>SUM(K$6:K39)</f>
        <v>2218.6489149999998</v>
      </c>
      <c r="O39" t="s">
        <v>69</v>
      </c>
      <c r="P39" s="66">
        <v>44797</v>
      </c>
    </row>
    <row r="40" spans="1:17" x14ac:dyDescent="0.2">
      <c r="A40" s="1" t="s">
        <v>13</v>
      </c>
      <c r="B40" s="66">
        <v>44761</v>
      </c>
      <c r="C40" s="67">
        <v>44791</v>
      </c>
      <c r="D40" s="1">
        <v>27761</v>
      </c>
      <c r="E40" s="4">
        <f t="shared" ref="E40:E41" si="68">ROUND(D40*$E$2,0)</f>
        <v>4442</v>
      </c>
      <c r="F40" s="3">
        <v>0.16413</v>
      </c>
      <c r="G40" s="3">
        <v>0.04</v>
      </c>
      <c r="I40" s="68">
        <f t="shared" ref="I40" si="69">E40*(F40+G40)</f>
        <v>906.74545999999998</v>
      </c>
      <c r="J40" s="68">
        <f t="shared" ref="J40" si="70">I40*G$2</f>
        <v>816.07091400000002</v>
      </c>
      <c r="K40" s="68">
        <f t="shared" ref="K40" si="71">I40-J40</f>
        <v>90.674545999999964</v>
      </c>
      <c r="L40" s="66"/>
      <c r="M40" s="4">
        <f>+SUM(E$6:E40)</f>
        <v>115665</v>
      </c>
      <c r="N40" s="70">
        <f>SUM(K$6:K40)</f>
        <v>2309.323461</v>
      </c>
      <c r="O40" t="s">
        <v>68</v>
      </c>
      <c r="P40" s="66">
        <v>44817</v>
      </c>
    </row>
    <row r="41" spans="1:17" x14ac:dyDescent="0.2">
      <c r="A41" s="1" t="s">
        <v>14</v>
      </c>
      <c r="B41" s="66">
        <v>44791</v>
      </c>
      <c r="C41" s="67">
        <v>44823</v>
      </c>
      <c r="D41" s="1">
        <v>25666</v>
      </c>
      <c r="E41" s="4">
        <f t="shared" si="68"/>
        <v>4107</v>
      </c>
      <c r="F41" s="3">
        <v>0.16413</v>
      </c>
      <c r="G41" s="3">
        <v>0.04</v>
      </c>
      <c r="I41" s="68">
        <f t="shared" ref="I41" si="72">E41*(F41+G41)</f>
        <v>838.36191000000008</v>
      </c>
      <c r="J41" s="68">
        <f t="shared" ref="J41" si="73">I41*G$2</f>
        <v>754.52571900000009</v>
      </c>
      <c r="K41" s="68">
        <f t="shared" ref="K41" si="74">I41-J41</f>
        <v>83.836190999999985</v>
      </c>
      <c r="L41" s="66"/>
      <c r="M41" s="4">
        <f>+SUM(E$6:E41)</f>
        <v>119772</v>
      </c>
      <c r="N41" s="70">
        <f>SUM(K$6:K41)</f>
        <v>2393.1596519999998</v>
      </c>
      <c r="O41" t="s">
        <v>66</v>
      </c>
      <c r="P41" s="66">
        <v>44838</v>
      </c>
    </row>
    <row r="42" spans="1:17" x14ac:dyDescent="0.2">
      <c r="A42" s="1" t="s">
        <v>15</v>
      </c>
      <c r="B42" s="66">
        <v>44823</v>
      </c>
      <c r="C42" s="67">
        <v>44852</v>
      </c>
      <c r="D42" s="1">
        <v>18333</v>
      </c>
      <c r="E42" s="4">
        <f t="shared" ref="E42" si="75">ROUND(D42*$E$2,0)</f>
        <v>2933</v>
      </c>
      <c r="F42" s="3">
        <v>0.17141000000000001</v>
      </c>
      <c r="G42" s="3">
        <v>0.04</v>
      </c>
      <c r="H42">
        <f t="shared" ref="H42:H47" si="76">SUM(F42:G42)</f>
        <v>0.21141000000000001</v>
      </c>
      <c r="I42" s="68">
        <f t="shared" ref="I42" si="77">E42*(F42+G42)</f>
        <v>620.06553000000008</v>
      </c>
      <c r="J42" s="68">
        <f t="shared" ref="J42" si="78">I42*G$2</f>
        <v>558.05897700000014</v>
      </c>
      <c r="K42" s="68">
        <f t="shared" ref="K42" si="79">I42-J42</f>
        <v>62.00655299999994</v>
      </c>
      <c r="L42" s="66"/>
      <c r="M42" s="4">
        <f>+SUM(E$6:E42)</f>
        <v>122705</v>
      </c>
      <c r="N42" s="70">
        <f>SUM(K$6:K42)</f>
        <v>2455.1662049999995</v>
      </c>
      <c r="O42" t="s">
        <v>79</v>
      </c>
      <c r="P42" s="66">
        <v>44887</v>
      </c>
    </row>
    <row r="43" spans="1:17" x14ac:dyDescent="0.2">
      <c r="A43" s="1" t="s">
        <v>16</v>
      </c>
      <c r="B43" s="66">
        <v>44852</v>
      </c>
      <c r="C43" s="67">
        <v>44881</v>
      </c>
      <c r="D43" s="1">
        <v>19904</v>
      </c>
      <c r="E43" s="4">
        <f t="shared" ref="E43:E44" si="80">ROUND(D43*$E$2,0)</f>
        <v>3185</v>
      </c>
      <c r="F43" s="3">
        <v>0.17141000000000001</v>
      </c>
      <c r="G43" s="3">
        <v>0.04</v>
      </c>
      <c r="H43">
        <f t="shared" si="76"/>
        <v>0.21141000000000001</v>
      </c>
      <c r="I43" s="68">
        <f t="shared" ref="I43" si="81">E43*(F43+G43)</f>
        <v>673.34085000000005</v>
      </c>
      <c r="J43" s="68">
        <f t="shared" ref="J43" si="82">I43*G$2</f>
        <v>606.00676500000009</v>
      </c>
      <c r="K43" s="68">
        <f t="shared" ref="K43" si="83">I43-J43</f>
        <v>67.334084999999959</v>
      </c>
      <c r="L43" s="66"/>
      <c r="M43" s="4">
        <f>+SUM(E$6:E43)</f>
        <v>125890</v>
      </c>
      <c r="N43" s="70">
        <f>SUM(K$6:K43)</f>
        <v>2522.5002899999995</v>
      </c>
      <c r="O43" t="s">
        <v>82</v>
      </c>
      <c r="P43" s="66">
        <v>44918</v>
      </c>
    </row>
    <row r="44" spans="1:17" x14ac:dyDescent="0.2">
      <c r="A44" s="1" t="s">
        <v>17</v>
      </c>
      <c r="B44" s="66">
        <v>44881</v>
      </c>
      <c r="C44" s="67">
        <v>44910</v>
      </c>
      <c r="D44" s="1">
        <v>12397</v>
      </c>
      <c r="E44" s="4">
        <f t="shared" si="80"/>
        <v>1984</v>
      </c>
      <c r="F44" s="3">
        <v>0.17141000000000001</v>
      </c>
      <c r="G44" s="3">
        <v>0.04</v>
      </c>
      <c r="H44">
        <f t="shared" si="76"/>
        <v>0.21141000000000001</v>
      </c>
      <c r="I44" s="68">
        <f t="shared" ref="I44" si="84">E44*(F44+G44)</f>
        <v>419.43744000000004</v>
      </c>
      <c r="J44" s="68">
        <f t="shared" ref="J44" si="85">I44*G$2</f>
        <v>377.49369600000006</v>
      </c>
      <c r="K44" s="68">
        <f t="shared" ref="K44" si="86">I44-J44</f>
        <v>41.943743999999981</v>
      </c>
      <c r="L44" s="66"/>
      <c r="M44" s="4">
        <f>+SUM(E$6:E44)</f>
        <v>127874</v>
      </c>
      <c r="N44" s="70">
        <f>SUM(K$6:K44)</f>
        <v>2564.4440339999996</v>
      </c>
      <c r="O44" t="s">
        <v>83</v>
      </c>
      <c r="P44" s="66">
        <v>44943</v>
      </c>
    </row>
    <row r="45" spans="1:17" x14ac:dyDescent="0.2">
      <c r="A45" s="1" t="s">
        <v>18</v>
      </c>
      <c r="B45" s="66">
        <v>44910</v>
      </c>
      <c r="C45" s="67">
        <v>44942</v>
      </c>
      <c r="D45" s="1">
        <v>9777</v>
      </c>
      <c r="E45" s="4">
        <f t="shared" ref="E45" si="87">ROUND(D45*$E$2,0)</f>
        <v>1564</v>
      </c>
      <c r="F45" s="3">
        <v>0.17141000000000001</v>
      </c>
      <c r="G45" s="3">
        <v>0.04</v>
      </c>
      <c r="H45">
        <f t="shared" si="76"/>
        <v>0.21141000000000001</v>
      </c>
      <c r="I45" s="68">
        <f t="shared" ref="I45" si="88">E45*(F45+G45)</f>
        <v>330.64524</v>
      </c>
      <c r="J45" s="68">
        <f t="shared" ref="J45" si="89">I45*G$2</f>
        <v>297.580716</v>
      </c>
      <c r="K45" s="68">
        <f t="shared" ref="K45" si="90">I45-J45</f>
        <v>33.064524000000006</v>
      </c>
      <c r="L45" s="66"/>
      <c r="M45" s="4">
        <f>+SUM(E$6:E45)</f>
        <v>129438</v>
      </c>
      <c r="N45" s="70">
        <f>SUM(K$6:K45)</f>
        <v>2597.5085579999995</v>
      </c>
      <c r="O45" t="s">
        <v>84</v>
      </c>
      <c r="P45" s="66">
        <v>44987</v>
      </c>
    </row>
    <row r="46" spans="1:17" x14ac:dyDescent="0.2">
      <c r="A46" s="1" t="s">
        <v>19</v>
      </c>
      <c r="B46" s="66">
        <v>44942</v>
      </c>
      <c r="C46" s="67">
        <v>44973</v>
      </c>
      <c r="D46" s="1">
        <v>13270</v>
      </c>
      <c r="E46" s="4">
        <f t="shared" ref="E46" si="91">ROUND(D46*$E$2,0)</f>
        <v>2123</v>
      </c>
      <c r="F46" s="3">
        <v>0.17141000000000001</v>
      </c>
      <c r="G46" s="3">
        <v>0.04</v>
      </c>
      <c r="H46">
        <f t="shared" si="76"/>
        <v>0.21141000000000001</v>
      </c>
      <c r="I46" s="68">
        <f t="shared" ref="I46" si="92">E46*(F46+G46)</f>
        <v>448.82343000000003</v>
      </c>
      <c r="J46" s="68">
        <f t="shared" ref="J46" si="93">I46*G$2</f>
        <v>403.94108700000004</v>
      </c>
      <c r="K46" s="68">
        <f t="shared" ref="K46" si="94">I46-J46</f>
        <v>44.882342999999992</v>
      </c>
      <c r="L46" s="66"/>
      <c r="M46" s="4">
        <f>+SUM(E$6:E46)</f>
        <v>131561</v>
      </c>
      <c r="N46" s="70">
        <f>SUM(K$6:K46)</f>
        <v>2642.3909009999998</v>
      </c>
      <c r="O46" t="s">
        <v>85</v>
      </c>
      <c r="P46" s="66">
        <v>44997</v>
      </c>
    </row>
    <row r="47" spans="1:17" x14ac:dyDescent="0.2">
      <c r="A47" s="1" t="s">
        <v>20</v>
      </c>
      <c r="B47" s="66">
        <v>44973</v>
      </c>
      <c r="C47" s="67">
        <v>45002</v>
      </c>
      <c r="D47" s="1">
        <v>12571</v>
      </c>
      <c r="E47" s="4">
        <f t="shared" ref="E47" si="95">ROUND(D47*$E$2,0)</f>
        <v>2011</v>
      </c>
      <c r="F47" s="3">
        <v>0.17141000000000001</v>
      </c>
      <c r="G47" s="3">
        <v>0.04</v>
      </c>
      <c r="H47">
        <f t="shared" si="76"/>
        <v>0.21141000000000001</v>
      </c>
      <c r="I47" s="68">
        <f t="shared" ref="I47" si="96">E47*(F47+G47)</f>
        <v>425.14551</v>
      </c>
      <c r="J47" s="68">
        <f t="shared" ref="J47" si="97">I47*G$2</f>
        <v>382.63095900000002</v>
      </c>
      <c r="K47" s="68">
        <f t="shared" ref="K47" si="98">I47-J47</f>
        <v>42.514550999999983</v>
      </c>
      <c r="L47" s="66"/>
      <c r="M47" s="4">
        <f>+SUM(E$6:E47)</f>
        <v>133572</v>
      </c>
      <c r="N47" s="70">
        <f>SUM(K$6:K47)</f>
        <v>2684.905452</v>
      </c>
      <c r="O47" t="s">
        <v>86</v>
      </c>
      <c r="P47" s="66">
        <v>45028</v>
      </c>
    </row>
    <row r="48" spans="1:17" x14ac:dyDescent="0.2">
      <c r="A48" s="1" t="s">
        <v>5</v>
      </c>
      <c r="B48" s="66">
        <v>45002</v>
      </c>
      <c r="C48" s="67">
        <v>45034</v>
      </c>
      <c r="D48" s="1">
        <v>25492</v>
      </c>
      <c r="E48" s="4">
        <f t="shared" ref="E48" si="99">ROUND(D48*$E$2,0)</f>
        <v>4079</v>
      </c>
      <c r="F48" s="3">
        <v>0.17141000000000001</v>
      </c>
      <c r="G48" s="3">
        <v>0.04</v>
      </c>
      <c r="H48">
        <f t="shared" ref="H48" si="100">SUM(F48:G48)</f>
        <v>0.21141000000000001</v>
      </c>
      <c r="I48" s="68">
        <f t="shared" ref="I48" si="101">E48*(F48+G48)</f>
        <v>862.34139000000005</v>
      </c>
      <c r="J48" s="68">
        <f t="shared" ref="J48" si="102">I48*G$2</f>
        <v>776.10725100000002</v>
      </c>
      <c r="K48" s="68">
        <f t="shared" ref="K48" si="103">I48-J48</f>
        <v>86.234139000000027</v>
      </c>
      <c r="L48" s="66"/>
      <c r="M48" s="4">
        <f>+SUM(E$6:E48)</f>
        <v>137651</v>
      </c>
      <c r="N48" s="70">
        <f>SUM(K$6:K48)</f>
        <v>2771.1395910000001</v>
      </c>
      <c r="O48" t="s">
        <v>87</v>
      </c>
      <c r="P48" s="66">
        <v>45076</v>
      </c>
    </row>
    <row r="49" spans="1:16" x14ac:dyDescent="0.2">
      <c r="A49" s="1" t="s">
        <v>4</v>
      </c>
      <c r="B49" s="66">
        <v>45034</v>
      </c>
      <c r="C49" s="67">
        <v>45064</v>
      </c>
      <c r="D49" s="1">
        <v>24967</v>
      </c>
      <c r="E49" s="4">
        <f t="shared" ref="E49" si="104">ROUND(D49*$E$2,0)</f>
        <v>3995</v>
      </c>
      <c r="F49" s="3">
        <v>0.17141000000000001</v>
      </c>
      <c r="G49" s="3">
        <v>0.04</v>
      </c>
      <c r="H49">
        <f t="shared" ref="H49" si="105">SUM(F49:G49)</f>
        <v>0.21141000000000001</v>
      </c>
      <c r="I49" s="68">
        <f t="shared" ref="I49" si="106">E49*(F49+G49)</f>
        <v>844.5829500000001</v>
      </c>
      <c r="J49" s="68">
        <f t="shared" ref="J49" si="107">I49*G$2</f>
        <v>760.12465500000008</v>
      </c>
      <c r="K49" s="68">
        <f t="shared" ref="K49" si="108">I49-J49</f>
        <v>84.458295000000021</v>
      </c>
      <c r="L49" s="66"/>
      <c r="M49" s="4">
        <f>+SUM(E$6:E49)</f>
        <v>141646</v>
      </c>
      <c r="N49" s="70">
        <f>SUM(K$6:K49)</f>
        <v>2855.597886</v>
      </c>
      <c r="O49" t="s">
        <v>88</v>
      </c>
      <c r="P49" s="66">
        <v>45096</v>
      </c>
    </row>
    <row r="50" spans="1:16" x14ac:dyDescent="0.2">
      <c r="A50" s="1" t="s">
        <v>11</v>
      </c>
      <c r="B50" s="66">
        <v>45064</v>
      </c>
      <c r="C50" s="67">
        <v>45095</v>
      </c>
      <c r="D50" s="1">
        <v>27587</v>
      </c>
      <c r="E50" s="4">
        <f t="shared" ref="E50" si="109">ROUND(D50*$E$2,0)</f>
        <v>4414</v>
      </c>
      <c r="F50" s="3">
        <v>0.17141000000000001</v>
      </c>
      <c r="G50" s="3">
        <v>0.04</v>
      </c>
      <c r="H50">
        <f t="shared" ref="H50" si="110">SUM(F50:G50)</f>
        <v>0.21141000000000001</v>
      </c>
      <c r="I50" s="68">
        <f t="shared" ref="I50" si="111">E50*(F50+G50)</f>
        <v>933.16374000000008</v>
      </c>
      <c r="J50" s="68">
        <f t="shared" ref="J50" si="112">I50*G$2</f>
        <v>839.84736600000008</v>
      </c>
      <c r="K50" s="68">
        <f t="shared" ref="K50" si="113">I50-J50</f>
        <v>93.316373999999996</v>
      </c>
      <c r="L50" s="66"/>
      <c r="M50" s="4">
        <f>+SUM(E$6:E50)</f>
        <v>146060</v>
      </c>
      <c r="N50" s="70">
        <f>SUM(K$6:K50)</f>
        <v>2948.91426</v>
      </c>
      <c r="O50" t="s">
        <v>89</v>
      </c>
      <c r="P50" s="66">
        <v>45130</v>
      </c>
    </row>
    <row r="51" spans="1:16" x14ac:dyDescent="0.2">
      <c r="A51" s="1" t="s">
        <v>12</v>
      </c>
      <c r="B51" s="66">
        <v>45095</v>
      </c>
      <c r="C51" s="67">
        <v>45125</v>
      </c>
      <c r="D51" s="1">
        <v>23047</v>
      </c>
      <c r="E51" s="4">
        <f t="shared" ref="E51" si="114">ROUND(D51*$E$2,0)</f>
        <v>3688</v>
      </c>
      <c r="F51" s="3">
        <v>0.17141000000000001</v>
      </c>
      <c r="G51" s="3">
        <v>0.04</v>
      </c>
      <c r="H51">
        <f t="shared" ref="H51" si="115">SUM(F51:G51)</f>
        <v>0.21141000000000001</v>
      </c>
      <c r="I51" s="68">
        <f t="shared" ref="I51" si="116">E51*(F51+G51)</f>
        <v>779.68008000000009</v>
      </c>
      <c r="J51" s="68">
        <f t="shared" ref="J51" si="117">I51*G$2</f>
        <v>701.71207200000015</v>
      </c>
      <c r="K51" s="68">
        <f t="shared" ref="K51" si="118">I51-J51</f>
        <v>77.968007999999941</v>
      </c>
      <c r="L51" s="66"/>
      <c r="M51" s="4">
        <f>+SUM(E$6:E51)</f>
        <v>149748</v>
      </c>
      <c r="N51" s="70">
        <f>SUM(K$6:K51)</f>
        <v>3026.8822679999998</v>
      </c>
      <c r="O51" t="s">
        <v>90</v>
      </c>
      <c r="P51" s="66">
        <v>45149</v>
      </c>
    </row>
    <row r="52" spans="1:16" x14ac:dyDescent="0.2">
      <c r="A52" s="1" t="s">
        <v>13</v>
      </c>
      <c r="B52" s="66">
        <v>45125</v>
      </c>
      <c r="C52" s="67">
        <v>45155</v>
      </c>
      <c r="D52" s="1">
        <v>23745</v>
      </c>
      <c r="E52" s="4">
        <f t="shared" ref="E52" si="119">ROUND(D52*$E$2,0)</f>
        <v>3799</v>
      </c>
      <c r="F52" s="3">
        <v>0.17141000000000001</v>
      </c>
      <c r="G52" s="3">
        <v>0.04</v>
      </c>
      <c r="H52">
        <f t="shared" ref="H52" si="120">SUM(F52:G52)</f>
        <v>0.21141000000000001</v>
      </c>
      <c r="I52" s="68">
        <f t="shared" ref="I52" si="121">E52*(F52+G52)</f>
        <v>803.14659000000006</v>
      </c>
      <c r="J52" s="68">
        <f t="shared" ref="J52" si="122">I52*G$2</f>
        <v>722.83193100000005</v>
      </c>
      <c r="K52" s="68">
        <f t="shared" ref="K52" si="123">I52-J52</f>
        <v>80.314659000000006</v>
      </c>
      <c r="L52" s="66"/>
      <c r="M52" s="4">
        <f>+SUM(E$6:E52)</f>
        <v>153547</v>
      </c>
      <c r="N52" s="70">
        <f>SUM(K$6:K52)</f>
        <v>3107.196927</v>
      </c>
      <c r="O52" t="s">
        <v>91</v>
      </c>
      <c r="P52" s="66">
        <v>45184</v>
      </c>
    </row>
    <row r="53" spans="1:16" x14ac:dyDescent="0.2">
      <c r="A53" s="1" t="s">
        <v>14</v>
      </c>
      <c r="B53" s="66">
        <v>45155</v>
      </c>
      <c r="C53" s="67">
        <v>45187</v>
      </c>
      <c r="D53" s="1">
        <v>24968</v>
      </c>
      <c r="E53" s="4">
        <f t="shared" ref="E53" si="124">ROUND(D53*$E$2,0)</f>
        <v>3995</v>
      </c>
      <c r="F53" s="3">
        <v>0.17141000000000001</v>
      </c>
      <c r="G53" s="3">
        <v>0.04</v>
      </c>
      <c r="H53">
        <f t="shared" ref="H53" si="125">SUM(F53:G53)</f>
        <v>0.21141000000000001</v>
      </c>
      <c r="I53" s="68">
        <f t="shared" ref="I53" si="126">E53*(F53+G53)</f>
        <v>844.5829500000001</v>
      </c>
      <c r="J53" s="68">
        <f t="shared" ref="J53" si="127">I53*G$2</f>
        <v>760.12465500000008</v>
      </c>
      <c r="K53" s="68">
        <f t="shared" ref="K53" si="128">I53-J53</f>
        <v>84.458295000000021</v>
      </c>
      <c r="L53" s="66"/>
      <c r="M53" s="4">
        <f>+SUM(E$6:E53)</f>
        <v>157542</v>
      </c>
      <c r="N53" s="70">
        <f>SUM(K$6:K53)</f>
        <v>3191.6552219999999</v>
      </c>
      <c r="O53" t="s">
        <v>92</v>
      </c>
      <c r="P53" s="66">
        <v>45229</v>
      </c>
    </row>
    <row r="54" spans="1:16" x14ac:dyDescent="0.2">
      <c r="A54" s="1" t="s">
        <v>15</v>
      </c>
      <c r="B54" s="66">
        <v>45187</v>
      </c>
      <c r="C54" s="67">
        <v>45217</v>
      </c>
      <c r="D54" s="1">
        <v>17883</v>
      </c>
      <c r="E54" s="4">
        <f t="shared" ref="E54" si="129">ROUND(D54*$E$2,0)</f>
        <v>2861</v>
      </c>
      <c r="F54" s="3">
        <v>0.17141000000000001</v>
      </c>
      <c r="G54" s="3">
        <v>0.04</v>
      </c>
      <c r="H54">
        <f t="shared" ref="H54" si="130">SUM(F54:G54)</f>
        <v>0.21141000000000001</v>
      </c>
      <c r="I54" s="68">
        <f t="shared" ref="I54" si="131">E54*(F54+G54)</f>
        <v>604.84401000000003</v>
      </c>
      <c r="J54" s="68">
        <f t="shared" ref="J54" si="132">I54*G$2</f>
        <v>544.35960900000009</v>
      </c>
      <c r="K54" s="68">
        <f t="shared" ref="K54" si="133">I54-J54</f>
        <v>60.484400999999934</v>
      </c>
      <c r="L54" s="66"/>
      <c r="M54" s="4">
        <f>+SUM(E$6:E54)</f>
        <v>160403</v>
      </c>
      <c r="N54" s="70">
        <f>SUM(K$6:K54)</f>
        <v>3252.139623</v>
      </c>
      <c r="O54" t="s">
        <v>93</v>
      </c>
      <c r="P54" s="66">
        <v>45241</v>
      </c>
    </row>
    <row r="55" spans="1:16" x14ac:dyDescent="0.2">
      <c r="A55" s="1" t="s">
        <v>16</v>
      </c>
      <c r="B55" s="66">
        <v>45217</v>
      </c>
      <c r="C55" s="67">
        <v>45247</v>
      </c>
      <c r="D55" s="1">
        <v>13270</v>
      </c>
      <c r="E55" s="4">
        <f t="shared" ref="E55:E67" si="134">ROUND(D55*$E$2,0)</f>
        <v>2123</v>
      </c>
      <c r="F55" s="3">
        <v>0.17141000000000001</v>
      </c>
      <c r="G55" s="3">
        <v>0.04</v>
      </c>
      <c r="H55">
        <f t="shared" ref="H55" si="135">SUM(F55:G55)</f>
        <v>0.21141000000000001</v>
      </c>
      <c r="I55" s="68">
        <f t="shared" ref="I55" si="136">E55*(F55+G55)</f>
        <v>448.82343000000003</v>
      </c>
      <c r="J55" s="68">
        <f t="shared" ref="J55" si="137">I55*G$2</f>
        <v>403.94108700000004</v>
      </c>
      <c r="K55" s="68">
        <f t="shared" ref="K55" si="138">I55-J55</f>
        <v>44.882342999999992</v>
      </c>
      <c r="L55" s="66"/>
      <c r="M55" s="4">
        <f>+SUM(E$6:E55)</f>
        <v>162526</v>
      </c>
      <c r="N55" s="70">
        <f>SUM(K$6:K55)</f>
        <v>3297.0219660000002</v>
      </c>
      <c r="O55" t="s">
        <v>94</v>
      </c>
      <c r="P55" s="66">
        <v>45277</v>
      </c>
    </row>
    <row r="56" spans="1:16" x14ac:dyDescent="0.2">
      <c r="A56" s="1" t="s">
        <v>17</v>
      </c>
      <c r="B56" s="66">
        <v>45247</v>
      </c>
      <c r="C56" s="67">
        <v>45277</v>
      </c>
      <c r="D56" s="1">
        <v>13078</v>
      </c>
      <c r="E56" s="4">
        <f t="shared" si="134"/>
        <v>2092</v>
      </c>
      <c r="F56" s="3">
        <v>0.17141000000000001</v>
      </c>
      <c r="G56" s="3">
        <v>0.04</v>
      </c>
      <c r="H56">
        <f t="shared" ref="H56" si="139">SUM(F56:G56)</f>
        <v>0.21141000000000001</v>
      </c>
      <c r="I56" s="68">
        <f t="shared" ref="I56" si="140">E56*(F56+G56)</f>
        <v>442.26972000000001</v>
      </c>
      <c r="J56" s="68">
        <f t="shared" ref="J56" si="141">I56*G$2</f>
        <v>398.04274800000002</v>
      </c>
      <c r="K56" s="68">
        <f t="shared" ref="K56" si="142">I56-J56</f>
        <v>44.226971999999989</v>
      </c>
      <c r="L56" s="66"/>
      <c r="M56" s="4">
        <f>+SUM(E$6:E56)</f>
        <v>164618</v>
      </c>
      <c r="N56" s="70">
        <f>SUM(K$6:K56)</f>
        <v>3341.2489380000002</v>
      </c>
      <c r="O56" t="s">
        <v>95</v>
      </c>
      <c r="P56" s="66">
        <v>45311</v>
      </c>
    </row>
    <row r="57" spans="1:16" x14ac:dyDescent="0.2">
      <c r="A57" s="1" t="s">
        <v>18</v>
      </c>
      <c r="B57" s="66">
        <v>45277</v>
      </c>
      <c r="C57" s="67">
        <v>45308</v>
      </c>
      <c r="D57" s="1">
        <v>8730</v>
      </c>
      <c r="E57" s="4">
        <f t="shared" si="134"/>
        <v>1397</v>
      </c>
      <c r="F57" s="3">
        <v>0.17141000000000001</v>
      </c>
      <c r="G57" s="3">
        <v>0.04</v>
      </c>
      <c r="H57">
        <f t="shared" ref="H57" si="143">SUM(F57:G57)</f>
        <v>0.21141000000000001</v>
      </c>
      <c r="I57" s="68">
        <f t="shared" ref="I57" si="144">E57*(F57+G57)</f>
        <v>295.33977000000004</v>
      </c>
      <c r="J57" s="68">
        <f t="shared" ref="J57" si="145">I57*G$2</f>
        <v>265.80579300000005</v>
      </c>
      <c r="K57" s="68">
        <f t="shared" ref="K57" si="146">I57-J57</f>
        <v>29.533976999999993</v>
      </c>
      <c r="L57" s="66"/>
      <c r="M57" s="4">
        <f>+SUM(E$6:E57)</f>
        <v>166015</v>
      </c>
      <c r="N57" s="70">
        <f>SUM(K$6:K57)</f>
        <v>3370.7829150000002</v>
      </c>
      <c r="O57" t="s">
        <v>96</v>
      </c>
      <c r="P57" s="66">
        <v>45334</v>
      </c>
    </row>
    <row r="58" spans="1:16" x14ac:dyDescent="0.2">
      <c r="A58" s="1" t="s">
        <v>19</v>
      </c>
      <c r="B58" s="66">
        <v>45308</v>
      </c>
      <c r="C58" s="67">
        <v>45338</v>
      </c>
      <c r="D58" s="73">
        <v>10999</v>
      </c>
      <c r="E58" s="4">
        <f t="shared" si="134"/>
        <v>1760</v>
      </c>
      <c r="F58" s="3">
        <v>0.17141000000000001</v>
      </c>
      <c r="G58" s="3">
        <v>0.04</v>
      </c>
      <c r="H58">
        <f t="shared" ref="H58" si="147">SUM(F58:G58)</f>
        <v>0.21141000000000001</v>
      </c>
      <c r="I58" s="68">
        <f t="shared" ref="I58" si="148">E58*(F58+G58)</f>
        <v>372.08160000000004</v>
      </c>
      <c r="J58" s="68">
        <f t="shared" ref="J58" si="149">I58*G$2</f>
        <v>334.87344000000002</v>
      </c>
      <c r="K58" s="68">
        <f t="shared" ref="K58" si="150">I58-J58</f>
        <v>37.208160000000021</v>
      </c>
      <c r="L58" s="66"/>
      <c r="M58" s="4">
        <f>+SUM(E$6:E58)</f>
        <v>167775</v>
      </c>
      <c r="N58" s="70">
        <f>SUM(K$6:K58)</f>
        <v>3407.9910750000004</v>
      </c>
      <c r="O58" t="s">
        <v>97</v>
      </c>
      <c r="P58" s="66">
        <v>45372</v>
      </c>
    </row>
    <row r="59" spans="1:16" x14ac:dyDescent="0.2">
      <c r="A59" s="1" t="s">
        <v>20</v>
      </c>
      <c r="B59" s="66">
        <v>45338</v>
      </c>
      <c r="C59" s="67">
        <v>45370</v>
      </c>
      <c r="D59" s="1">
        <v>20602</v>
      </c>
      <c r="E59" s="4">
        <f t="shared" si="134"/>
        <v>3296</v>
      </c>
      <c r="F59" s="3">
        <v>0.17141000000000001</v>
      </c>
      <c r="G59" s="3">
        <v>0.04</v>
      </c>
      <c r="H59">
        <f t="shared" ref="H59" si="151">SUM(F59:G59)</f>
        <v>0.21141000000000001</v>
      </c>
      <c r="I59" s="68">
        <f t="shared" ref="I59" si="152">E59*(F59+G59)</f>
        <v>696.80736000000002</v>
      </c>
      <c r="J59" s="68">
        <f t="shared" ref="J59" si="153">I59*G$2</f>
        <v>627.12662399999999</v>
      </c>
      <c r="K59" s="68">
        <f t="shared" ref="K59" si="154">I59-J59</f>
        <v>69.680736000000024</v>
      </c>
      <c r="L59" s="66"/>
      <c r="M59" s="4">
        <f>+SUM(E$6:E59)</f>
        <v>171071</v>
      </c>
      <c r="N59" s="70">
        <f>SUM(K$6:K59)</f>
        <v>3477.6718110000002</v>
      </c>
      <c r="O59" t="s">
        <v>99</v>
      </c>
      <c r="P59" s="66">
        <v>45395</v>
      </c>
    </row>
    <row r="60" spans="1:16" x14ac:dyDescent="0.2">
      <c r="A60" s="1" t="s">
        <v>5</v>
      </c>
      <c r="B60" s="66">
        <v>45370</v>
      </c>
      <c r="C60" s="67">
        <v>45400</v>
      </c>
      <c r="D60" s="1">
        <v>20079</v>
      </c>
      <c r="E60" s="4">
        <f t="shared" si="134"/>
        <v>3213</v>
      </c>
      <c r="F60" s="3">
        <v>0.17141000000000001</v>
      </c>
      <c r="G60" s="3">
        <v>0.04</v>
      </c>
      <c r="H60">
        <f t="shared" ref="H60" si="155">SUM(F60:G60)</f>
        <v>0.21141000000000001</v>
      </c>
      <c r="I60" s="68">
        <f t="shared" ref="I60" si="156">E60*(F60+G60)</f>
        <v>679.26033000000007</v>
      </c>
      <c r="J60" s="68">
        <f t="shared" ref="J60" si="157">I60*G$2</f>
        <v>611.33429700000011</v>
      </c>
      <c r="K60" s="68">
        <f t="shared" ref="K60" si="158">I60-J60</f>
        <v>67.926032999999961</v>
      </c>
      <c r="L60" s="66"/>
      <c r="M60" s="4">
        <f>+SUM(E$6:E60)</f>
        <v>174284</v>
      </c>
      <c r="N60" s="70">
        <f>SUM(K$6:K60)</f>
        <v>3545.5978439999999</v>
      </c>
      <c r="O60" t="s">
        <v>100</v>
      </c>
      <c r="P60" s="66">
        <v>45440</v>
      </c>
    </row>
    <row r="61" spans="1:16" x14ac:dyDescent="0.2">
      <c r="A61" s="1" t="s">
        <v>4</v>
      </c>
      <c r="B61" s="66">
        <v>45400</v>
      </c>
      <c r="C61" s="67">
        <v>45432</v>
      </c>
      <c r="D61" s="1">
        <v>24619</v>
      </c>
      <c r="E61" s="4">
        <f t="shared" si="134"/>
        <v>3939</v>
      </c>
      <c r="F61" s="3">
        <v>0.17141000000000001</v>
      </c>
      <c r="G61" s="3">
        <v>0.04</v>
      </c>
      <c r="H61">
        <f t="shared" ref="H61" si="159">SUM(F61:G61)</f>
        <v>0.21141000000000001</v>
      </c>
      <c r="I61" s="68">
        <f t="shared" ref="I61" si="160">E61*(F61+G61)</f>
        <v>832.74399000000005</v>
      </c>
      <c r="J61" s="68">
        <f t="shared" ref="J61" si="161">I61*G$2</f>
        <v>749.46959100000004</v>
      </c>
      <c r="K61" s="68">
        <f t="shared" ref="K61" si="162">I61-J61</f>
        <v>83.274399000000017</v>
      </c>
      <c r="L61" s="66"/>
      <c r="M61" s="4">
        <f>+SUM(E$6:E61)</f>
        <v>178223</v>
      </c>
      <c r="N61" s="70">
        <f>SUM(K$6:K61)</f>
        <v>3628.8722429999998</v>
      </c>
      <c r="O61" t="s">
        <v>101</v>
      </c>
      <c r="P61" s="66">
        <v>45469</v>
      </c>
    </row>
    <row r="62" spans="1:16" x14ac:dyDescent="0.2">
      <c r="A62" s="1" t="s">
        <v>11</v>
      </c>
      <c r="B62" s="66">
        <v>45432</v>
      </c>
      <c r="C62" s="67">
        <v>45462</v>
      </c>
      <c r="D62" s="1">
        <v>27586</v>
      </c>
      <c r="E62" s="4">
        <f t="shared" si="134"/>
        <v>4414</v>
      </c>
      <c r="F62" s="3">
        <v>0.17141000000000001</v>
      </c>
      <c r="G62" s="3">
        <v>0.04</v>
      </c>
      <c r="H62">
        <f t="shared" ref="H62" si="163">SUM(F62:G62)</f>
        <v>0.21141000000000001</v>
      </c>
      <c r="I62" s="68">
        <f t="shared" ref="I62" si="164">E62*(F62+G62)</f>
        <v>933.16374000000008</v>
      </c>
      <c r="J62" s="68">
        <f t="shared" ref="J62" si="165">I62*G$2</f>
        <v>839.84736600000008</v>
      </c>
      <c r="K62" s="68">
        <f t="shared" ref="K62" si="166">I62-J62</f>
        <v>93.316373999999996</v>
      </c>
      <c r="L62" s="66"/>
      <c r="M62" s="4">
        <f>+SUM(E$6:E62)</f>
        <v>182637</v>
      </c>
      <c r="N62" s="70">
        <f>SUM(K$6:K62)</f>
        <v>3722.1886169999998</v>
      </c>
      <c r="O62" t="s">
        <v>102</v>
      </c>
      <c r="P62" s="66">
        <v>45498</v>
      </c>
    </row>
    <row r="63" spans="1:16" x14ac:dyDescent="0.2">
      <c r="A63" s="1" t="s">
        <v>12</v>
      </c>
      <c r="B63" s="66">
        <v>45462</v>
      </c>
      <c r="C63" s="67">
        <v>45492</v>
      </c>
      <c r="D63" s="1">
        <v>26190</v>
      </c>
      <c r="E63" s="4">
        <f t="shared" si="134"/>
        <v>4190</v>
      </c>
      <c r="F63" s="3">
        <v>0.17141000000000001</v>
      </c>
      <c r="G63" s="3">
        <v>0.04</v>
      </c>
      <c r="H63">
        <f t="shared" ref="H63" si="167">SUM(F63:G63)</f>
        <v>0.21141000000000001</v>
      </c>
      <c r="I63" s="68">
        <f t="shared" ref="I63" si="168">E63*(F63+G63)</f>
        <v>885.80790000000002</v>
      </c>
      <c r="J63" s="68">
        <f t="shared" ref="J63" si="169">I63*G$2</f>
        <v>797.22711000000004</v>
      </c>
      <c r="K63" s="68">
        <f t="shared" ref="K63" si="170">I63-J63</f>
        <v>88.580789999999979</v>
      </c>
      <c r="L63" s="66"/>
      <c r="M63" s="4">
        <f>+SUM(E$6:E63)</f>
        <v>186827</v>
      </c>
      <c r="N63" s="70">
        <f>SUM(K$6:K63)</f>
        <v>3810.7694069999998</v>
      </c>
      <c r="O63" t="s">
        <v>103</v>
      </c>
      <c r="P63" s="66">
        <v>45523</v>
      </c>
    </row>
    <row r="64" spans="1:16" x14ac:dyDescent="0.2">
      <c r="A64" s="1" t="s">
        <v>13</v>
      </c>
      <c r="B64" s="66">
        <v>45492</v>
      </c>
      <c r="C64" s="67">
        <v>45523</v>
      </c>
      <c r="D64" s="1">
        <v>24793</v>
      </c>
      <c r="E64" s="4">
        <f t="shared" si="134"/>
        <v>3967</v>
      </c>
      <c r="F64" s="3">
        <v>0.18398</v>
      </c>
      <c r="G64" s="3">
        <v>0.04</v>
      </c>
      <c r="H64">
        <f t="shared" ref="H64" si="171">SUM(F64:G64)</f>
        <v>0.22398000000000001</v>
      </c>
      <c r="I64" s="68">
        <f t="shared" ref="I64" si="172">E64*(F64+G64)</f>
        <v>888.52866000000006</v>
      </c>
      <c r="J64" s="68">
        <f t="shared" ref="J64" si="173">I64*G$2</f>
        <v>799.67579400000011</v>
      </c>
      <c r="K64" s="68">
        <f t="shared" ref="K64" si="174">I64-J64</f>
        <v>88.852865999999949</v>
      </c>
      <c r="L64" s="66"/>
      <c r="M64" s="4">
        <f>+SUM(E$6:E64)</f>
        <v>190794</v>
      </c>
      <c r="N64" s="70">
        <f>SUM(K$6:K64)</f>
        <v>3899.622273</v>
      </c>
      <c r="O64" t="s">
        <v>104</v>
      </c>
      <c r="P64" s="66">
        <v>45566</v>
      </c>
    </row>
    <row r="65" spans="1:16" x14ac:dyDescent="0.2">
      <c r="A65" s="1" t="s">
        <v>14</v>
      </c>
      <c r="B65" s="66">
        <v>45523</v>
      </c>
      <c r="C65" s="67">
        <v>45553</v>
      </c>
      <c r="D65" s="1">
        <v>27586</v>
      </c>
      <c r="E65" s="4">
        <f t="shared" si="134"/>
        <v>4414</v>
      </c>
      <c r="F65" s="3">
        <v>0.18398</v>
      </c>
      <c r="G65" s="3">
        <v>0.04</v>
      </c>
      <c r="H65">
        <f t="shared" ref="H65" si="175">SUM(F65:G65)</f>
        <v>0.22398000000000001</v>
      </c>
      <c r="I65" s="68">
        <f t="shared" ref="I65" si="176">E65*(F65+G65)</f>
        <v>988.64772000000005</v>
      </c>
      <c r="J65" s="68">
        <f t="shared" ref="J65" si="177">I65*G$2</f>
        <v>889.78294800000003</v>
      </c>
      <c r="K65" s="68">
        <f t="shared" ref="K65" si="178">I65-J65</f>
        <v>98.864772000000016</v>
      </c>
      <c r="L65" s="66"/>
      <c r="M65" s="4">
        <f>+SUM(E$6:E65)</f>
        <v>195208</v>
      </c>
      <c r="N65" s="70">
        <f>SUM(K$6:K65)</f>
        <v>3998.4870449999999</v>
      </c>
      <c r="O65" t="s">
        <v>106</v>
      </c>
      <c r="P65" s="66">
        <v>45589</v>
      </c>
    </row>
    <row r="66" spans="1:16" x14ac:dyDescent="0.2">
      <c r="A66" s="1" t="s">
        <v>15</v>
      </c>
      <c r="B66" s="66">
        <v>45553</v>
      </c>
      <c r="C66" s="67">
        <v>45583</v>
      </c>
      <c r="D66" s="1">
        <v>19206</v>
      </c>
      <c r="E66" s="4">
        <f t="shared" si="134"/>
        <v>3073</v>
      </c>
      <c r="F66" s="3">
        <v>0.18398</v>
      </c>
      <c r="G66" s="3">
        <v>0.04</v>
      </c>
      <c r="H66">
        <f t="shared" ref="H66" si="179">SUM(F66:G66)</f>
        <v>0.22398000000000001</v>
      </c>
      <c r="I66" s="68">
        <f t="shared" ref="I66" si="180">E66*(F66+G66)</f>
        <v>688.29054000000008</v>
      </c>
      <c r="J66" s="68">
        <f t="shared" ref="J66" si="181">I66*G$2</f>
        <v>619.46148600000004</v>
      </c>
      <c r="K66" s="68">
        <f t="shared" ref="K66" si="182">I66-J66</f>
        <v>68.829054000000042</v>
      </c>
      <c r="L66" s="66"/>
      <c r="M66" s="4">
        <f>+SUM(E$6:E66)</f>
        <v>198281</v>
      </c>
      <c r="N66" s="70">
        <f>SUM(K$6:K66)</f>
        <v>4067.3160989999997</v>
      </c>
      <c r="O66" t="s">
        <v>107</v>
      </c>
      <c r="P66" s="66">
        <v>45615</v>
      </c>
    </row>
    <row r="67" spans="1:16" x14ac:dyDescent="0.2">
      <c r="A67" s="1" t="s">
        <v>16</v>
      </c>
      <c r="B67" s="66">
        <v>45583</v>
      </c>
      <c r="C67" s="67">
        <v>45614</v>
      </c>
      <c r="D67" s="1">
        <v>20428</v>
      </c>
      <c r="E67" s="4">
        <f t="shared" si="134"/>
        <v>3268</v>
      </c>
      <c r="F67" s="3">
        <v>0.18398</v>
      </c>
      <c r="G67" s="3">
        <v>0.04</v>
      </c>
      <c r="H67">
        <f t="shared" ref="H67" si="183">SUM(F67:G67)</f>
        <v>0.22398000000000001</v>
      </c>
      <c r="I67" s="68">
        <f t="shared" ref="I67" si="184">E67*(F67+G67)</f>
        <v>731.96663999999998</v>
      </c>
      <c r="J67" s="68">
        <f t="shared" ref="J67" si="185">I67*G$2</f>
        <v>658.76997600000004</v>
      </c>
      <c r="K67" s="68">
        <f t="shared" ref="K67" si="186">I67-J67</f>
        <v>73.196663999999942</v>
      </c>
      <c r="L67" s="66"/>
      <c r="M67" s="4">
        <f>+SUM(E$6:E67)</f>
        <v>201549</v>
      </c>
      <c r="N67" s="70">
        <f>SUM(K$6:K67)</f>
        <v>4140.5127629999997</v>
      </c>
      <c r="O67" t="s">
        <v>108</v>
      </c>
      <c r="P67" s="66">
        <v>45653</v>
      </c>
    </row>
    <row r="68" spans="1:16" x14ac:dyDescent="0.2">
      <c r="A68" s="1" t="s">
        <v>17</v>
      </c>
      <c r="B68" s="66">
        <v>45614</v>
      </c>
      <c r="C68" s="67">
        <v>45642</v>
      </c>
      <c r="D68" s="1">
        <v>8206</v>
      </c>
      <c r="E68" s="4">
        <f t="shared" ref="E68:E71" si="187">ROUND(D68*$E$2,0)</f>
        <v>1313</v>
      </c>
      <c r="F68" s="3">
        <v>0.18398</v>
      </c>
      <c r="G68" s="3">
        <v>0.04</v>
      </c>
      <c r="H68">
        <f t="shared" ref="H68" si="188">SUM(F68:G68)</f>
        <v>0.22398000000000001</v>
      </c>
      <c r="I68" s="68">
        <f t="shared" ref="I68" si="189">E68*(F68+G68)</f>
        <v>294.08574000000004</v>
      </c>
      <c r="J68" s="68">
        <f t="shared" ref="J68" si="190">I68*G$2</f>
        <v>264.67716600000006</v>
      </c>
      <c r="K68" s="68">
        <f t="shared" ref="K68" si="191">I68-J68</f>
        <v>29.408573999999987</v>
      </c>
      <c r="L68" s="66"/>
      <c r="M68" s="4">
        <f>+SUM(E$6:E68)</f>
        <v>202862</v>
      </c>
      <c r="N68" s="70">
        <f>SUM(K$6:K68)</f>
        <v>4169.9213369999998</v>
      </c>
      <c r="O68" t="s">
        <v>109</v>
      </c>
      <c r="P68" s="66">
        <v>45680</v>
      </c>
    </row>
    <row r="69" spans="1:16" x14ac:dyDescent="0.2">
      <c r="A69" s="1" t="s">
        <v>18</v>
      </c>
      <c r="B69" s="66">
        <v>45642</v>
      </c>
      <c r="C69" s="67">
        <v>45672</v>
      </c>
      <c r="D69" s="1">
        <v>8555</v>
      </c>
      <c r="E69" s="4">
        <f t="shared" si="187"/>
        <v>1369</v>
      </c>
      <c r="F69" s="3">
        <v>0.18398</v>
      </c>
      <c r="G69" s="3">
        <v>0.04</v>
      </c>
      <c r="H69">
        <f t="shared" ref="H69" si="192">SUM(F69:G69)</f>
        <v>0.22398000000000001</v>
      </c>
      <c r="I69" s="68">
        <f t="shared" ref="I69" si="193">E69*(F69+G69)</f>
        <v>306.62862000000001</v>
      </c>
      <c r="J69" s="68">
        <f t="shared" ref="J69" si="194">I69*G$2</f>
        <v>275.96575799999999</v>
      </c>
      <c r="K69" s="68">
        <f t="shared" ref="K69" si="195">I69-J69</f>
        <v>30.662862000000018</v>
      </c>
      <c r="L69" s="66"/>
      <c r="M69" s="4">
        <f>+SUM(E$6:E69)</f>
        <v>204231</v>
      </c>
      <c r="N69" s="70">
        <f>SUM(K$6:K69)</f>
        <v>4200.5841989999999</v>
      </c>
      <c r="O69" t="s">
        <v>110</v>
      </c>
      <c r="P69" s="66">
        <v>45711</v>
      </c>
    </row>
    <row r="70" spans="1:16" x14ac:dyDescent="0.2">
      <c r="A70" s="1" t="s">
        <v>19</v>
      </c>
      <c r="B70" s="66">
        <v>45672</v>
      </c>
      <c r="C70" s="67">
        <v>45702</v>
      </c>
      <c r="D70" s="1">
        <v>9079</v>
      </c>
      <c r="E70" s="4">
        <f t="shared" si="187"/>
        <v>1453</v>
      </c>
      <c r="F70" s="3">
        <v>0.18398</v>
      </c>
      <c r="G70" s="3">
        <v>0.04</v>
      </c>
      <c r="H70">
        <f t="shared" ref="H70" si="196">SUM(F70:G70)</f>
        <v>0.22398000000000001</v>
      </c>
      <c r="I70" s="68">
        <f t="shared" ref="I70" si="197">E70*(F70+G70)</f>
        <v>325.44294000000002</v>
      </c>
      <c r="J70" s="68">
        <f t="shared" ref="J70" si="198">I70*G$2</f>
        <v>292.89864600000004</v>
      </c>
      <c r="K70" s="68">
        <f t="shared" ref="K70" si="199">I70-J70</f>
        <v>32.544293999999979</v>
      </c>
      <c r="L70" s="66"/>
      <c r="M70" s="4">
        <f>+SUM(E$6:E70)</f>
        <v>205684</v>
      </c>
      <c r="N70" s="70">
        <f>SUM(K$6:K70)</f>
        <v>4233.1284930000002</v>
      </c>
      <c r="O70" t="s">
        <v>111</v>
      </c>
      <c r="P70" s="66">
        <v>45733</v>
      </c>
    </row>
    <row r="71" spans="1:16" x14ac:dyDescent="0.2">
      <c r="A71" s="1" t="s">
        <v>20</v>
      </c>
      <c r="B71" s="66">
        <v>45702</v>
      </c>
      <c r="C71" s="67">
        <v>45734</v>
      </c>
      <c r="D71" s="1">
        <v>18682</v>
      </c>
      <c r="E71" s="4">
        <f t="shared" si="187"/>
        <v>2989</v>
      </c>
      <c r="F71" s="3">
        <v>0.18398</v>
      </c>
      <c r="G71" s="3">
        <v>0.04</v>
      </c>
      <c r="H71">
        <f t="shared" ref="H71" si="200">SUM(F71:G71)</f>
        <v>0.22398000000000001</v>
      </c>
      <c r="I71" s="68">
        <f t="shared" ref="I71" si="201">E71*(F71+G71)</f>
        <v>669.47622000000001</v>
      </c>
      <c r="J71" s="68">
        <f t="shared" ref="J71" si="202">I71*G$2</f>
        <v>602.52859799999999</v>
      </c>
      <c r="K71" s="68">
        <f t="shared" ref="K71" si="203">I71-J71</f>
        <v>66.947622000000024</v>
      </c>
      <c r="L71" s="66"/>
      <c r="M71" s="4">
        <f>+SUM(E$6:E71)</f>
        <v>208673</v>
      </c>
      <c r="N71" s="70">
        <f>SUM(K$6:K71)</f>
        <v>4300.0761149999998</v>
      </c>
      <c r="O71" t="s">
        <v>112</v>
      </c>
      <c r="P71" s="66">
        <v>45768</v>
      </c>
    </row>
    <row r="72" spans="1:16" x14ac:dyDescent="0.2">
      <c r="A72" s="1" t="s">
        <v>5</v>
      </c>
      <c r="B72" s="66">
        <v>45734</v>
      </c>
      <c r="C72" s="67">
        <v>45763</v>
      </c>
      <c r="D72" s="1">
        <v>16587</v>
      </c>
      <c r="E72" s="4">
        <f t="shared" ref="E72" si="204">ROUND(D72*$E$2,0)</f>
        <v>2654</v>
      </c>
      <c r="F72" s="3">
        <v>0.18398</v>
      </c>
      <c r="G72" s="3">
        <v>0.04</v>
      </c>
      <c r="H72">
        <f t="shared" ref="H72" si="205">SUM(F72:G72)</f>
        <v>0.22398000000000001</v>
      </c>
      <c r="I72" s="68">
        <f t="shared" ref="I72" si="206">E72*(F72+G72)</f>
        <v>594.44292000000007</v>
      </c>
      <c r="J72" s="68">
        <f t="shared" ref="J72" si="207">I72*G$2</f>
        <v>534.99862800000005</v>
      </c>
      <c r="K72" s="68">
        <f t="shared" ref="K72" si="208">I72-J72</f>
        <v>59.444292000000019</v>
      </c>
      <c r="L72" s="66"/>
      <c r="M72" s="4">
        <f>+SUM(E$6:E72)</f>
        <v>211327</v>
      </c>
      <c r="N72" s="70">
        <f>SUM(K$6:K72)</f>
        <v>4359.520407</v>
      </c>
      <c r="O72" t="s">
        <v>113</v>
      </c>
      <c r="P72" s="66">
        <v>45800</v>
      </c>
    </row>
    <row r="73" spans="1:16" x14ac:dyDescent="0.2">
      <c r="A73" s="1" t="s">
        <v>4</v>
      </c>
      <c r="B73" s="66">
        <v>45763</v>
      </c>
      <c r="C73" s="67">
        <v>45793</v>
      </c>
      <c r="D73" s="1">
        <v>21127</v>
      </c>
      <c r="E73" s="4">
        <f t="shared" ref="E73:E76" si="209">ROUND(D73*$E$2,0)</f>
        <v>3380</v>
      </c>
      <c r="F73" s="3">
        <v>0.18398</v>
      </c>
      <c r="G73" s="3">
        <v>0.04</v>
      </c>
      <c r="H73">
        <f t="shared" ref="H73" si="210">SUM(F73:G73)</f>
        <v>0.22398000000000001</v>
      </c>
      <c r="I73" s="68">
        <f t="shared" ref="I73" si="211">E73*(F73+G73)</f>
        <v>757.05240000000003</v>
      </c>
      <c r="J73" s="68">
        <f t="shared" ref="J73" si="212">I73*G$2</f>
        <v>681.34716000000003</v>
      </c>
      <c r="K73" s="68">
        <f t="shared" ref="K73" si="213">I73-J73</f>
        <v>75.705240000000003</v>
      </c>
      <c r="L73" s="66"/>
      <c r="M73" s="4">
        <f>+SUM(E$6:E73)</f>
        <v>214707</v>
      </c>
      <c r="N73" s="70">
        <f>SUM(K$6:K73)</f>
        <v>4435.2256470000002</v>
      </c>
      <c r="O73" t="s">
        <v>114</v>
      </c>
      <c r="P73" s="66">
        <v>45824</v>
      </c>
    </row>
    <row r="74" spans="1:16" x14ac:dyDescent="0.2">
      <c r="A74" s="1" t="s">
        <v>11</v>
      </c>
      <c r="B74" s="66">
        <v>45793</v>
      </c>
      <c r="C74" s="67">
        <v>45825</v>
      </c>
      <c r="D74" s="1">
        <v>21475</v>
      </c>
      <c r="E74" s="4">
        <f t="shared" si="209"/>
        <v>3436</v>
      </c>
      <c r="F74" s="3">
        <v>0.18398</v>
      </c>
      <c r="G74" s="3">
        <v>0.04</v>
      </c>
      <c r="H74">
        <f t="shared" ref="H74" si="214">SUM(F74:G74)</f>
        <v>0.22398000000000001</v>
      </c>
      <c r="I74" s="68">
        <f t="shared" ref="I74" si="215">E74*(F74+G74)</f>
        <v>769.59528</v>
      </c>
      <c r="J74" s="68">
        <f t="shared" ref="J74" si="216">I74*G$2</f>
        <v>692.63575200000002</v>
      </c>
      <c r="K74" s="68">
        <f t="shared" ref="K74" si="217">I74-J74</f>
        <v>76.959527999999978</v>
      </c>
      <c r="L74" s="66"/>
      <c r="M74" s="4">
        <f>+SUM(E$6:E74)</f>
        <v>218143</v>
      </c>
      <c r="N74" s="70">
        <f>SUM(K$6:K74)</f>
        <v>4512.1851750000005</v>
      </c>
      <c r="O74" t="s">
        <v>115</v>
      </c>
      <c r="P74" s="66">
        <v>45854</v>
      </c>
    </row>
    <row r="75" spans="1:16" x14ac:dyDescent="0.2">
      <c r="A75" s="1" t="s">
        <v>12</v>
      </c>
      <c r="B75" s="66">
        <v>45825</v>
      </c>
      <c r="C75" s="67">
        <v>45855</v>
      </c>
      <c r="D75" s="1">
        <v>23746</v>
      </c>
      <c r="E75" s="4">
        <f t="shared" si="209"/>
        <v>3799</v>
      </c>
      <c r="F75" s="3">
        <v>0.18398</v>
      </c>
      <c r="G75" s="3">
        <v>0.04</v>
      </c>
      <c r="H75">
        <f t="shared" ref="H75" si="218">SUM(F75:G75)</f>
        <v>0.22398000000000001</v>
      </c>
      <c r="I75" s="68">
        <f t="shared" ref="I75" si="219">E75*(F75+G75)</f>
        <v>850.90002000000004</v>
      </c>
      <c r="J75" s="68">
        <f t="shared" ref="J75" si="220">I75*G$2</f>
        <v>765.81001800000001</v>
      </c>
      <c r="K75" s="68">
        <f t="shared" ref="K75" si="221">I75-J75</f>
        <v>85.090002000000027</v>
      </c>
      <c r="L75" s="66"/>
      <c r="M75" s="4">
        <f>+SUM(E$6:E75)</f>
        <v>221942</v>
      </c>
      <c r="N75" s="70">
        <f>SUM(K$6:K75)</f>
        <v>4597.2751770000004</v>
      </c>
      <c r="O75" t="s">
        <v>116</v>
      </c>
      <c r="P75" s="66">
        <v>45894</v>
      </c>
    </row>
    <row r="76" spans="1:16" x14ac:dyDescent="0.2">
      <c r="A76" s="1" t="s">
        <v>13</v>
      </c>
      <c r="B76" s="66">
        <v>45855</v>
      </c>
      <c r="C76" s="67">
        <v>45884</v>
      </c>
      <c r="D76" s="1">
        <v>26015</v>
      </c>
      <c r="E76" s="4">
        <f t="shared" si="209"/>
        <v>4162</v>
      </c>
      <c r="F76" s="3">
        <v>0.18398</v>
      </c>
      <c r="G76" s="3">
        <v>0.04</v>
      </c>
      <c r="H76">
        <f t="shared" ref="H76" si="222">SUM(F76:G76)</f>
        <v>0.22398000000000001</v>
      </c>
      <c r="I76" s="68">
        <f t="shared" ref="I76" si="223">E76*(F76+G76)</f>
        <v>932.20476000000008</v>
      </c>
      <c r="J76" s="68">
        <f t="shared" ref="J76" si="224">I76*G$2</f>
        <v>838.98428400000012</v>
      </c>
      <c r="K76" s="68">
        <f t="shared" ref="K76" si="225">I76-J76</f>
        <v>93.220475999999962</v>
      </c>
      <c r="L76" s="66"/>
      <c r="M76" s="4">
        <f>+SUM(E$6:E76)</f>
        <v>226104</v>
      </c>
      <c r="N76" s="70">
        <f>SUM(K$6:K76)</f>
        <v>4690.4956529999999</v>
      </c>
      <c r="O76" t="s">
        <v>117</v>
      </c>
      <c r="P76" s="66">
        <v>45911</v>
      </c>
    </row>
    <row r="77" spans="1:16" x14ac:dyDescent="0.2">
      <c r="A77" s="1" t="s">
        <v>14</v>
      </c>
      <c r="B77" s="66">
        <v>45884</v>
      </c>
      <c r="C77" s="67">
        <v>45916</v>
      </c>
      <c r="D77" s="1">
        <v>25840</v>
      </c>
      <c r="E77" s="4">
        <f t="shared" ref="E77:E78" si="226">ROUND(D77*$E$2,0)</f>
        <v>4134</v>
      </c>
      <c r="F77" s="3">
        <v>0.18398</v>
      </c>
      <c r="G77" s="3">
        <v>0.04</v>
      </c>
      <c r="H77">
        <f t="shared" ref="H77" si="227">SUM(F77:G77)</f>
        <v>0.22398000000000001</v>
      </c>
      <c r="I77" s="68">
        <f t="shared" ref="I77" si="228">E77*(F77+G77)</f>
        <v>925.93332000000009</v>
      </c>
      <c r="J77" s="68">
        <f t="shared" ref="J77" si="229">I77*G$2</f>
        <v>833.33998800000006</v>
      </c>
      <c r="K77" s="68">
        <f t="shared" ref="K77" si="230">I77-J77</f>
        <v>92.593332000000032</v>
      </c>
      <c r="L77" s="66"/>
      <c r="M77" s="4">
        <f>+SUM(E$6:E77)</f>
        <v>230238</v>
      </c>
      <c r="N77" s="70">
        <f>SUM(K$6:K77)</f>
        <v>4783.0889850000003</v>
      </c>
      <c r="O77" t="s">
        <v>118</v>
      </c>
      <c r="P77" s="66">
        <v>45956</v>
      </c>
    </row>
    <row r="78" spans="1:16" x14ac:dyDescent="0.2">
      <c r="A78" s="1" t="s">
        <v>15</v>
      </c>
      <c r="B78" s="66">
        <v>45916</v>
      </c>
      <c r="C78" s="67">
        <v>45946</v>
      </c>
      <c r="D78" s="1">
        <v>24968</v>
      </c>
      <c r="E78" s="4">
        <f t="shared" si="226"/>
        <v>3995</v>
      </c>
      <c r="F78" s="3">
        <v>0.18398</v>
      </c>
      <c r="G78" s="3">
        <v>0.04</v>
      </c>
      <c r="H78">
        <f t="shared" ref="H78" si="231">SUM(F78:G78)</f>
        <v>0.22398000000000001</v>
      </c>
      <c r="I78" s="68">
        <f t="shared" ref="I78" si="232">E78*(F78+G78)</f>
        <v>894.80010000000004</v>
      </c>
      <c r="J78" s="68">
        <f t="shared" ref="J78" si="233">I78*G$2</f>
        <v>805.32009000000005</v>
      </c>
      <c r="K78" s="68">
        <f t="shared" ref="K78" si="234">I78-J78</f>
        <v>89.480009999999993</v>
      </c>
      <c r="L78" s="66"/>
      <c r="M78" s="4">
        <f>+SUM(E$6:E78)</f>
        <v>234233</v>
      </c>
      <c r="N78" s="70">
        <f>SUM(K$6:K78)</f>
        <v>4872.5689950000005</v>
      </c>
      <c r="O78" t="s">
        <v>119</v>
      </c>
      <c r="P78" s="66">
        <v>45975</v>
      </c>
    </row>
    <row r="79" spans="1:16" x14ac:dyDescent="0.2">
      <c r="A79" s="1" t="s">
        <v>16</v>
      </c>
      <c r="B79" s="66">
        <v>45946</v>
      </c>
      <c r="C79" s="67">
        <v>45978</v>
      </c>
      <c r="D79" s="1">
        <v>14491</v>
      </c>
      <c r="E79" s="4">
        <f t="shared" ref="E79" si="235">ROUND(D79*$E$2,0)</f>
        <v>2319</v>
      </c>
      <c r="F79" s="3">
        <v>0.18398</v>
      </c>
      <c r="G79" s="3">
        <v>0.04</v>
      </c>
      <c r="H79">
        <f t="shared" ref="H79" si="236">SUM(F79:G79)</f>
        <v>0.22398000000000001</v>
      </c>
      <c r="I79" s="68">
        <f t="shared" ref="I79" si="237">E79*(F79+G79)</f>
        <v>519.40962000000002</v>
      </c>
      <c r="J79" s="68">
        <f t="shared" ref="J79" si="238">I79*G$2</f>
        <v>467.468658</v>
      </c>
      <c r="K79" s="68">
        <f t="shared" ref="K79" si="239">I79-J79</f>
        <v>51.940962000000013</v>
      </c>
      <c r="L79" s="66"/>
      <c r="M79" s="4">
        <f>+SUM(E$6:E79)</f>
        <v>236552</v>
      </c>
      <c r="N79" s="70">
        <f>SUM(K$6:K79)</f>
        <v>4924.5099570000002</v>
      </c>
      <c r="O79" t="s">
        <v>120</v>
      </c>
      <c r="P79" s="66">
        <v>46007</v>
      </c>
    </row>
    <row r="80" spans="1:16" x14ac:dyDescent="0.2">
      <c r="A80" s="1" t="s">
        <v>17</v>
      </c>
      <c r="B80" s="66">
        <v>45978</v>
      </c>
      <c r="C80" s="67">
        <v>46007</v>
      </c>
      <c r="D80" s="1">
        <v>9254</v>
      </c>
      <c r="E80" s="4">
        <f t="shared" ref="E80" si="240">ROUND(D80*$E$2,0)</f>
        <v>1481</v>
      </c>
      <c r="F80" s="3">
        <v>0.18398</v>
      </c>
      <c r="G80" s="3">
        <v>0.04</v>
      </c>
      <c r="H80">
        <f t="shared" ref="H80" si="241">SUM(F80:G80)</f>
        <v>0.22398000000000001</v>
      </c>
      <c r="I80" s="68">
        <f t="shared" ref="I80" si="242">E80*(F80+G80)</f>
        <v>331.71438000000001</v>
      </c>
      <c r="J80" s="68">
        <f t="shared" ref="J80" si="243">I80*G$2</f>
        <v>298.54294200000004</v>
      </c>
      <c r="K80" s="68">
        <f t="shared" ref="K80" si="244">I80-J80</f>
        <v>33.171437999999966</v>
      </c>
      <c r="L80" s="66"/>
      <c r="M80" s="4">
        <f>+SUM(E$6:E80)</f>
        <v>238033</v>
      </c>
      <c r="N80" s="70">
        <f>SUM(K$6:K80)</f>
        <v>4957.6813950000005</v>
      </c>
      <c r="O80" t="s">
        <v>121</v>
      </c>
      <c r="P80" s="66">
        <v>46039</v>
      </c>
    </row>
    <row r="81" spans="1:16" x14ac:dyDescent="0.2">
      <c r="A81" s="1" t="s">
        <v>18</v>
      </c>
      <c r="B81" s="66">
        <v>46007</v>
      </c>
      <c r="C81" s="67">
        <v>46037</v>
      </c>
      <c r="D81" s="1">
        <v>8206</v>
      </c>
      <c r="E81" s="4">
        <f t="shared" ref="E81:E85" si="245">ROUND(D81*$E$2,0)</f>
        <v>1313</v>
      </c>
      <c r="F81" s="3">
        <v>0.18398</v>
      </c>
      <c r="G81" s="3">
        <v>0.04</v>
      </c>
      <c r="H81">
        <f t="shared" ref="H81" si="246">SUM(F81:G81)</f>
        <v>0.22398000000000001</v>
      </c>
      <c r="I81" s="68">
        <f t="shared" ref="I81" si="247">E81*(F81+G81)</f>
        <v>294.08574000000004</v>
      </c>
      <c r="J81" s="68">
        <f t="shared" ref="J81" si="248">I81*G$2</f>
        <v>264.67716600000006</v>
      </c>
      <c r="K81" s="68">
        <f t="shared" ref="K81" si="249">I81-J81</f>
        <v>29.408573999999987</v>
      </c>
      <c r="L81" s="66"/>
      <c r="M81" s="4">
        <f>+SUM(E$6:E81)</f>
        <v>239346</v>
      </c>
      <c r="N81" s="70">
        <f>SUM(K$6:K81)</f>
        <v>4987.0899690000006</v>
      </c>
      <c r="O81" t="s">
        <v>122</v>
      </c>
      <c r="P81" s="66">
        <v>46068</v>
      </c>
    </row>
    <row r="82" spans="1:16" x14ac:dyDescent="0.2">
      <c r="A82" s="1" t="s">
        <v>19</v>
      </c>
      <c r="B82" s="66">
        <v>46037</v>
      </c>
      <c r="C82" s="67">
        <v>46069</v>
      </c>
      <c r="D82" s="1">
        <v>12222</v>
      </c>
      <c r="E82" s="4">
        <f t="shared" si="245"/>
        <v>1956</v>
      </c>
      <c r="F82" s="3">
        <v>0.18398</v>
      </c>
      <c r="G82" s="3">
        <v>0.04</v>
      </c>
      <c r="H82">
        <f t="shared" ref="H82" si="250">SUM(F82:G82)</f>
        <v>0.22398000000000001</v>
      </c>
      <c r="I82" s="68">
        <f t="shared" ref="I82" si="251">E82*(F82+G82)</f>
        <v>438.10488000000004</v>
      </c>
      <c r="J82" s="68">
        <f t="shared" ref="J82" si="252">I82*G$2</f>
        <v>394.29439200000002</v>
      </c>
      <c r="K82" s="68">
        <f t="shared" ref="K82" si="253">I82-J82</f>
        <v>43.810488000000021</v>
      </c>
      <c r="L82" s="66"/>
      <c r="M82" s="4">
        <f>+SUM(E$6:E82)</f>
        <v>241302</v>
      </c>
      <c r="N82" s="70">
        <f>SUM(K$6:K82)</f>
        <v>5030.9004570000006</v>
      </c>
      <c r="O82" t="s">
        <v>123</v>
      </c>
      <c r="P82" s="66">
        <v>46090</v>
      </c>
    </row>
    <row r="83" spans="1:16" x14ac:dyDescent="0.2">
      <c r="A83" s="1" t="s">
        <v>20</v>
      </c>
      <c r="B83" s="66">
        <v>46069</v>
      </c>
      <c r="C83" s="67">
        <v>46099</v>
      </c>
      <c r="D83" s="1">
        <v>16761</v>
      </c>
      <c r="E83" s="4">
        <f t="shared" si="245"/>
        <v>2682</v>
      </c>
      <c r="F83" s="3">
        <v>0.18398</v>
      </c>
      <c r="G83" s="3">
        <v>0.04</v>
      </c>
      <c r="H83">
        <f t="shared" ref="H83" si="254">SUM(F83:G83)</f>
        <v>0.22398000000000001</v>
      </c>
      <c r="I83" s="68">
        <f t="shared" ref="I83" si="255">E83*(F83+G83)</f>
        <v>600.71436000000006</v>
      </c>
      <c r="J83" s="68">
        <f t="shared" ref="J83" si="256">I83*G$2</f>
        <v>540.64292400000011</v>
      </c>
      <c r="K83" s="68">
        <f t="shared" ref="K83" si="257">I83-J83</f>
        <v>60.071435999999949</v>
      </c>
      <c r="L83" s="66"/>
      <c r="M83" s="4">
        <f>+SUM(E$6:E83)</f>
        <v>243984</v>
      </c>
      <c r="N83" s="70">
        <f>SUM(K$6:K83)</f>
        <v>5090.9718930000008</v>
      </c>
      <c r="O83" t="s">
        <v>124</v>
      </c>
      <c r="P83" s="66">
        <v>46140</v>
      </c>
    </row>
    <row r="84" spans="1:16" x14ac:dyDescent="0.2">
      <c r="A84" s="1" t="s">
        <v>5</v>
      </c>
      <c r="B84" s="66">
        <v>46099</v>
      </c>
      <c r="C84" s="67">
        <v>46129</v>
      </c>
      <c r="D84" s="1">
        <v>20340</v>
      </c>
      <c r="E84" s="4">
        <f t="shared" si="245"/>
        <v>3254</v>
      </c>
      <c r="F84" s="3">
        <v>0.18398</v>
      </c>
      <c r="G84" s="3">
        <v>0.04</v>
      </c>
      <c r="H84">
        <f t="shared" ref="H84" si="258">SUM(F84:G84)</f>
        <v>0.22398000000000001</v>
      </c>
      <c r="I84" s="68">
        <f t="shared" ref="I84" si="259">E84*(F84+G84)</f>
        <v>728.83091999999999</v>
      </c>
      <c r="J84" s="68">
        <f t="shared" ref="J84" si="260">I84*G$2</f>
        <v>655.94782799999996</v>
      </c>
      <c r="K84" s="68">
        <f t="shared" ref="K84" si="261">I84-J84</f>
        <v>72.883092000000033</v>
      </c>
      <c r="L84" s="66"/>
      <c r="M84" s="4">
        <f>+SUM(E$6:E84)</f>
        <v>247238</v>
      </c>
      <c r="N84" s="70">
        <f>SUM(K$6:K84)</f>
        <v>5163.8549850000009</v>
      </c>
      <c r="O84" t="s">
        <v>125</v>
      </c>
      <c r="P84" s="66">
        <v>46161</v>
      </c>
    </row>
    <row r="85" spans="1:16" x14ac:dyDescent="0.2">
      <c r="A85" s="1" t="s">
        <v>4</v>
      </c>
      <c r="B85" s="66">
        <v>46129</v>
      </c>
      <c r="C85" s="67">
        <v>46161</v>
      </c>
      <c r="D85" s="1">
        <v>26825</v>
      </c>
      <c r="E85" s="4">
        <f t="shared" si="245"/>
        <v>4292</v>
      </c>
      <c r="F85" s="3">
        <v>0.18398</v>
      </c>
      <c r="G85" s="3">
        <v>0.04</v>
      </c>
      <c r="H85">
        <f t="shared" ref="H85" si="262">SUM(F85:G85)</f>
        <v>0.22398000000000001</v>
      </c>
      <c r="I85" s="68">
        <f t="shared" ref="I85" si="263">E85*(F85+G85)</f>
        <v>961.32216000000005</v>
      </c>
      <c r="J85" s="68">
        <f t="shared" ref="J85" si="264">I85*G$2</f>
        <v>865.18994400000008</v>
      </c>
      <c r="K85" s="68">
        <f t="shared" ref="K85" si="265">I85-J85</f>
        <v>96.132215999999971</v>
      </c>
      <c r="L85" s="66"/>
      <c r="M85" s="4">
        <f>+SUM(E$6:E85)</f>
        <v>251530</v>
      </c>
      <c r="N85" s="70">
        <f>SUM(K$6:K85)</f>
        <v>5259.9872010000008</v>
      </c>
      <c r="O85" t="s">
        <v>126</v>
      </c>
    </row>
  </sheetData>
  <hyperlinks>
    <hyperlink ref="L2" r:id="rId1" xr:uid="{8B06520A-B255-D943-8610-29386A1BC21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A34A-0E5D-834D-A655-BCEA4686B3F5}">
  <sheetPr>
    <tabColor theme="9" tint="0.39997558519241921"/>
    <pageSetUpPr fitToPage="1"/>
  </sheetPr>
  <dimension ref="B1:N36"/>
  <sheetViews>
    <sheetView tabSelected="1" topLeftCell="A12" workbookViewId="0">
      <selection activeCell="C28" sqref="C28"/>
    </sheetView>
  </sheetViews>
  <sheetFormatPr baseColWidth="10" defaultRowHeight="21" x14ac:dyDescent="0.25"/>
  <cols>
    <col min="3" max="3" width="35" style="28" customWidth="1"/>
    <col min="4" max="4" width="4.5" style="28" customWidth="1"/>
    <col min="5" max="5" width="13.5" style="29" customWidth="1"/>
    <col min="6" max="6" width="3.6640625" style="29" customWidth="1"/>
    <col min="7" max="7" width="15.33203125" style="28" customWidth="1"/>
    <col min="8" max="9" width="10.83203125" style="28"/>
    <col min="11" max="11" width="17.6640625" customWidth="1"/>
    <col min="13" max="13" width="12.1640625" customWidth="1"/>
  </cols>
  <sheetData>
    <row r="1" spans="2:14" x14ac:dyDescent="0.25">
      <c r="B1" s="22"/>
      <c r="C1" s="36"/>
      <c r="D1" s="36"/>
      <c r="E1" s="37"/>
      <c r="F1" s="37"/>
      <c r="G1" s="36"/>
      <c r="H1" s="36"/>
      <c r="I1" s="49"/>
    </row>
    <row r="2" spans="2:14" x14ac:dyDescent="0.25">
      <c r="B2" s="24"/>
      <c r="I2" s="50"/>
    </row>
    <row r="3" spans="2:14" ht="22" x14ac:dyDescent="0.3">
      <c r="B3" s="24"/>
      <c r="C3" s="38" t="s">
        <v>42</v>
      </c>
      <c r="D3" s="38"/>
      <c r="E3" s="34"/>
      <c r="F3" s="34"/>
      <c r="G3" s="30"/>
      <c r="H3" s="30"/>
      <c r="I3" s="51"/>
    </row>
    <row r="4" spans="2:14" ht="22" x14ac:dyDescent="0.3">
      <c r="B4" s="24"/>
      <c r="C4" s="30"/>
      <c r="D4" s="30"/>
      <c r="E4" s="34"/>
      <c r="F4" s="34"/>
      <c r="G4" s="30"/>
      <c r="H4" s="30"/>
      <c r="I4" s="51"/>
    </row>
    <row r="5" spans="2:14" ht="22" x14ac:dyDescent="0.3">
      <c r="B5" s="24"/>
      <c r="C5" s="30" t="s">
        <v>37</v>
      </c>
      <c r="D5" s="30"/>
      <c r="E5" s="34"/>
      <c r="F5" s="34"/>
      <c r="G5" s="30" t="s">
        <v>39</v>
      </c>
      <c r="H5" s="30"/>
      <c r="I5" s="51"/>
    </row>
    <row r="6" spans="2:14" ht="22" x14ac:dyDescent="0.3">
      <c r="B6" s="24"/>
      <c r="C6" s="30" t="s">
        <v>38</v>
      </c>
      <c r="D6" s="30"/>
      <c r="E6" s="34"/>
      <c r="F6" s="34"/>
      <c r="G6" s="30" t="s">
        <v>40</v>
      </c>
      <c r="H6" s="30"/>
      <c r="I6" s="51"/>
      <c r="N6" s="21"/>
    </row>
    <row r="7" spans="2:14" ht="23" thickBot="1" x14ac:dyDescent="0.35">
      <c r="B7" s="24"/>
      <c r="C7" s="30" t="s">
        <v>63</v>
      </c>
      <c r="D7" s="30"/>
      <c r="E7" s="34"/>
      <c r="F7" s="34"/>
      <c r="G7" s="30" t="s">
        <v>41</v>
      </c>
      <c r="H7" s="30"/>
      <c r="I7" s="51"/>
    </row>
    <row r="8" spans="2:14" ht="25" thickBot="1" x14ac:dyDescent="0.35">
      <c r="B8" s="24"/>
      <c r="C8" s="30"/>
      <c r="D8" s="30"/>
      <c r="E8" s="34"/>
      <c r="F8" s="34"/>
      <c r="G8" s="30"/>
      <c r="H8" s="30"/>
      <c r="I8" s="51"/>
      <c r="K8" s="71" t="s">
        <v>81</v>
      </c>
      <c r="L8" s="72">
        <v>85</v>
      </c>
    </row>
    <row r="9" spans="2:14" ht="22" x14ac:dyDescent="0.3">
      <c r="B9" s="24"/>
      <c r="C9" s="30"/>
      <c r="D9" s="30"/>
      <c r="E9" s="34"/>
      <c r="F9" s="34"/>
      <c r="G9" s="30"/>
      <c r="H9" s="30"/>
      <c r="I9" s="51"/>
    </row>
    <row r="10" spans="2:14" ht="22" x14ac:dyDescent="0.3">
      <c r="B10" s="24"/>
      <c r="C10" s="30" t="s">
        <v>29</v>
      </c>
      <c r="D10" s="30"/>
      <c r="E10" s="34"/>
      <c r="F10" s="34"/>
      <c r="G10" s="30"/>
      <c r="H10" s="30"/>
      <c r="I10" s="51"/>
    </row>
    <row r="11" spans="2:14" ht="22" x14ac:dyDescent="0.3">
      <c r="B11" s="24"/>
      <c r="C11" s="30" t="s">
        <v>56</v>
      </c>
      <c r="D11" s="30"/>
      <c r="E11" s="34" t="str" cm="1">
        <f t="array" aca="1" ref="E11" ca="1">INDIRECT(ADDRESS(L8,15,,,"NFD"))</f>
        <v>2026-05</v>
      </c>
      <c r="F11" s="34"/>
      <c r="G11" s="30"/>
      <c r="H11" s="30"/>
      <c r="I11" s="51"/>
    </row>
    <row r="12" spans="2:14" ht="22" x14ac:dyDescent="0.3">
      <c r="B12" s="24"/>
      <c r="C12" s="30" t="s">
        <v>57</v>
      </c>
      <c r="D12" s="30"/>
      <c r="E12" s="31">
        <f ca="1">TODAY()</f>
        <v>46172</v>
      </c>
      <c r="F12" s="31"/>
      <c r="G12" s="30"/>
      <c r="H12" s="30"/>
      <c r="I12" s="51"/>
    </row>
    <row r="13" spans="2:14" ht="22" x14ac:dyDescent="0.3">
      <c r="B13" s="24"/>
      <c r="C13" s="30" t="s">
        <v>52</v>
      </c>
      <c r="D13" s="30"/>
      <c r="E13" s="31">
        <f ca="1">+E12+28</f>
        <v>46200</v>
      </c>
      <c r="F13" s="39"/>
      <c r="G13" s="30"/>
      <c r="H13" s="30"/>
      <c r="I13" s="51"/>
    </row>
    <row r="14" spans="2:14" ht="22" x14ac:dyDescent="0.3">
      <c r="B14" s="24"/>
      <c r="C14" s="30"/>
      <c r="D14" s="30"/>
      <c r="E14" s="39"/>
      <c r="F14" s="39"/>
      <c r="G14" s="30"/>
      <c r="H14" s="30"/>
      <c r="I14" s="51"/>
    </row>
    <row r="15" spans="2:14" ht="22" x14ac:dyDescent="0.3">
      <c r="B15" s="24"/>
      <c r="C15" s="30"/>
      <c r="D15" s="30"/>
      <c r="E15" s="34" t="s">
        <v>43</v>
      </c>
      <c r="F15" s="34"/>
      <c r="G15" s="34" t="s">
        <v>44</v>
      </c>
      <c r="H15" s="30"/>
      <c r="I15" s="51"/>
    </row>
    <row r="16" spans="2:14" ht="22" x14ac:dyDescent="0.3">
      <c r="B16" s="24"/>
      <c r="C16" s="30" t="s">
        <v>45</v>
      </c>
      <c r="D16" s="30"/>
      <c r="E16" s="46" cm="1">
        <f t="array" aca="1" ref="E16" ca="1">INDIRECT(ADDRESS(L8,2,,,"NFD"))</f>
        <v>46129</v>
      </c>
      <c r="F16" s="31"/>
      <c r="G16" s="46" cm="1">
        <f t="array" aca="1" ref="G16" ca="1">INDIRECT(ADDRESS(L8,3,,,"NFD"))</f>
        <v>46161</v>
      </c>
      <c r="H16" s="30"/>
      <c r="I16" s="51"/>
    </row>
    <row r="17" spans="2:9" ht="22" x14ac:dyDescent="0.3">
      <c r="B17" s="24"/>
      <c r="C17" s="30"/>
      <c r="D17" s="30"/>
      <c r="E17" s="31"/>
      <c r="F17" s="31"/>
      <c r="G17" s="46"/>
      <c r="H17" s="30"/>
      <c r="I17" s="51"/>
    </row>
    <row r="18" spans="2:9" ht="22" x14ac:dyDescent="0.3">
      <c r="B18" s="24"/>
      <c r="C18" s="30" t="s">
        <v>59</v>
      </c>
      <c r="D18" s="30"/>
      <c r="E18" s="31"/>
      <c r="F18" s="31"/>
      <c r="G18" s="54" cm="1">
        <f t="array" aca="1" ref="G18" ca="1">INDIRECT(ADDRESS(L8,4,,,"NFD"))</f>
        <v>26825</v>
      </c>
      <c r="H18" s="30"/>
      <c r="I18" s="51"/>
    </row>
    <row r="19" spans="2:9" ht="22" x14ac:dyDescent="0.3">
      <c r="B19" s="24"/>
      <c r="C19" s="30" t="s">
        <v>60</v>
      </c>
      <c r="D19" s="30"/>
      <c r="F19" s="32"/>
      <c r="G19" s="56" cm="1">
        <f t="array" aca="1" ref="G19" ca="1">INDIRECT(ADDRESS(L8,5,,,"NFD"))</f>
        <v>4292</v>
      </c>
      <c r="H19" s="55">
        <f ca="1">+G19/G18</f>
        <v>0.16</v>
      </c>
      <c r="I19" s="51"/>
    </row>
    <row r="20" spans="2:9" ht="22" x14ac:dyDescent="0.3">
      <c r="B20" s="24"/>
      <c r="C20" s="30" t="s">
        <v>105</v>
      </c>
      <c r="D20" s="30"/>
      <c r="F20" s="33"/>
      <c r="G20" s="35" cm="1">
        <f t="array" aca="1" ref="G20" ca="1">INDIRECT(ADDRESS(L8,5,,,"NFD"))*INDIRECT(ADDRESS(L8,6,,,"NFD"))</f>
        <v>789.64215999999999</v>
      </c>
      <c r="H20" s="30"/>
      <c r="I20" s="51"/>
    </row>
    <row r="21" spans="2:9" ht="22" x14ac:dyDescent="0.3">
      <c r="B21" s="24"/>
      <c r="C21" s="30" t="s">
        <v>35</v>
      </c>
      <c r="D21" s="30"/>
      <c r="F21" s="34"/>
      <c r="G21" s="35" cm="1">
        <f t="array" aca="1" ref="G21" ca="1">INDIRECT(ADDRESS(L8,5,,,"NFD"))*INDIRECT(ADDRESS(L8,7,,,"NFD"))</f>
        <v>171.68</v>
      </c>
      <c r="H21" s="30"/>
      <c r="I21" s="51"/>
    </row>
    <row r="22" spans="2:9" ht="22" x14ac:dyDescent="0.3">
      <c r="B22" s="24"/>
      <c r="C22" s="30" t="s">
        <v>49</v>
      </c>
      <c r="D22" s="30"/>
      <c r="F22" s="35"/>
      <c r="G22" s="35" cm="1">
        <f t="array" aca="1" ref="G22" ca="1">+INDIRECT(ADDRESS(L8,9,,,"NFD"))</f>
        <v>961.32216000000005</v>
      </c>
      <c r="H22" s="30"/>
      <c r="I22" s="51"/>
    </row>
    <row r="23" spans="2:9" ht="22" x14ac:dyDescent="0.3">
      <c r="B23" s="24"/>
      <c r="C23" s="30" t="s">
        <v>36</v>
      </c>
      <c r="D23" s="30"/>
      <c r="F23" s="34"/>
      <c r="G23" s="35" cm="1">
        <f t="array" aca="1" ref="G23" ca="1">+INDIRECT(ADDRESS(L8,10,,,"NFD"))</f>
        <v>865.18994400000008</v>
      </c>
      <c r="H23" s="30"/>
      <c r="I23" s="51"/>
    </row>
    <row r="24" spans="2:9" ht="22" x14ac:dyDescent="0.3">
      <c r="B24" s="24"/>
      <c r="C24" s="30" t="s">
        <v>50</v>
      </c>
      <c r="D24" s="30"/>
      <c r="F24" s="35"/>
      <c r="G24" s="35" cm="1">
        <f t="array" aca="1" ref="G24" ca="1">INDIRECT(ADDRESS(L8,11,,,"NFD"))</f>
        <v>96.132215999999971</v>
      </c>
      <c r="H24" s="30"/>
      <c r="I24" s="51"/>
    </row>
    <row r="25" spans="2:9" ht="22" x14ac:dyDescent="0.3">
      <c r="B25" s="24"/>
      <c r="C25" s="30"/>
      <c r="D25" s="30"/>
      <c r="F25" s="35"/>
      <c r="G25" s="35"/>
      <c r="H25" s="30"/>
      <c r="I25" s="51"/>
    </row>
    <row r="26" spans="2:9" ht="22" x14ac:dyDescent="0.3">
      <c r="B26" s="24"/>
      <c r="C26" s="38" t="s">
        <v>51</v>
      </c>
      <c r="D26" s="38"/>
      <c r="E26" s="47"/>
      <c r="F26" s="48"/>
      <c r="G26" s="48">
        <f ca="1">+G23</f>
        <v>865.18994400000008</v>
      </c>
      <c r="H26" s="30"/>
      <c r="I26" s="51"/>
    </row>
    <row r="27" spans="2:9" ht="22" x14ac:dyDescent="0.3">
      <c r="B27" s="24"/>
      <c r="C27" s="40" t="s">
        <v>55</v>
      </c>
      <c r="D27" s="30"/>
      <c r="E27" s="34"/>
      <c r="F27" s="34"/>
      <c r="G27" s="30"/>
      <c r="H27" s="30"/>
      <c r="I27" s="51"/>
    </row>
    <row r="28" spans="2:9" ht="22" x14ac:dyDescent="0.3">
      <c r="B28" s="24"/>
      <c r="C28" s="30"/>
      <c r="D28" s="30"/>
      <c r="E28" s="34"/>
      <c r="F28" s="34"/>
      <c r="G28" s="30"/>
      <c r="H28" s="30"/>
      <c r="I28" s="51"/>
    </row>
    <row r="29" spans="2:9" ht="22" x14ac:dyDescent="0.3">
      <c r="B29" s="24"/>
      <c r="C29" s="30"/>
      <c r="D29" s="30"/>
      <c r="E29" s="34"/>
      <c r="F29" s="34"/>
      <c r="G29" s="30"/>
      <c r="H29" s="30"/>
      <c r="I29" s="51"/>
    </row>
    <row r="30" spans="2:9" x14ac:dyDescent="0.25">
      <c r="B30" s="24"/>
      <c r="C30" s="41" t="s">
        <v>53</v>
      </c>
      <c r="D30" s="41"/>
      <c r="E30" s="42"/>
      <c r="F30" s="42"/>
      <c r="G30" s="69" cm="1">
        <f t="array" aca="1" ref="G30" ca="1">INDIRECT(ADDRESS(L8,13,,,"NFD"))</f>
        <v>251530</v>
      </c>
      <c r="I30" s="50"/>
    </row>
    <row r="31" spans="2:9" x14ac:dyDescent="0.25">
      <c r="B31" s="24"/>
      <c r="C31" s="41" t="s">
        <v>54</v>
      </c>
      <c r="D31" s="41"/>
      <c r="E31" s="42"/>
      <c r="F31" s="42"/>
      <c r="G31" s="43" cm="1">
        <f t="array" aca="1" ref="G31" ca="1">INDIRECT(ADDRESS(L8,14,,,"NFD"))</f>
        <v>5259.9872010000008</v>
      </c>
      <c r="I31" s="50"/>
    </row>
    <row r="32" spans="2:9" x14ac:dyDescent="0.25">
      <c r="B32" s="24"/>
      <c r="I32" s="50"/>
    </row>
    <row r="33" spans="2:9" x14ac:dyDescent="0.25">
      <c r="B33" s="24"/>
      <c r="I33" s="50"/>
    </row>
    <row r="34" spans="2:9" x14ac:dyDescent="0.25">
      <c r="B34" s="24"/>
      <c r="I34" s="50"/>
    </row>
    <row r="35" spans="2:9" x14ac:dyDescent="0.25">
      <c r="B35" s="24"/>
      <c r="I35" s="50"/>
    </row>
    <row r="36" spans="2:9" ht="22" thickBot="1" x14ac:dyDescent="0.3">
      <c r="B36" s="26"/>
      <c r="C36" s="52" t="s">
        <v>64</v>
      </c>
      <c r="D36" s="44"/>
      <c r="E36" s="45"/>
      <c r="F36" s="45"/>
      <c r="G36" s="44"/>
      <c r="H36" s="44"/>
      <c r="I36" s="53"/>
    </row>
  </sheetData>
  <pageMargins left="0.7" right="0.7" top="0.75" bottom="0.75" header="0.3" footer="0.3"/>
  <pageSetup scale="81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E601E-B4A9-E744-9BC4-D593D34BF8D1}">
  <dimension ref="C65:F134"/>
  <sheetViews>
    <sheetView topLeftCell="D71" workbookViewId="0">
      <selection activeCell="L111" sqref="L111"/>
    </sheetView>
  </sheetViews>
  <sheetFormatPr baseColWidth="10" defaultRowHeight="15" x14ac:dyDescent="0.2"/>
  <cols>
    <col min="5" max="5" width="12.1640625" bestFit="1" customWidth="1"/>
  </cols>
  <sheetData>
    <row r="65" spans="3:6" x14ac:dyDescent="0.2">
      <c r="C65" s="15">
        <v>15480</v>
      </c>
    </row>
    <row r="66" spans="3:6" x14ac:dyDescent="0.2">
      <c r="C66" s="15">
        <v>9720</v>
      </c>
    </row>
    <row r="67" spans="3:6" x14ac:dyDescent="0.2">
      <c r="C67" s="15">
        <v>8640</v>
      </c>
    </row>
    <row r="68" spans="3:6" x14ac:dyDescent="0.2">
      <c r="C68" s="15">
        <v>11700</v>
      </c>
    </row>
    <row r="69" spans="3:6" x14ac:dyDescent="0.2">
      <c r="C69" s="15">
        <v>22500</v>
      </c>
    </row>
    <row r="70" spans="3:6" x14ac:dyDescent="0.2">
      <c r="C70" s="15">
        <v>20880</v>
      </c>
    </row>
    <row r="71" spans="3:6" x14ac:dyDescent="0.2">
      <c r="C71" s="15">
        <v>26640</v>
      </c>
    </row>
    <row r="72" spans="3:6" x14ac:dyDescent="0.2">
      <c r="C72" s="15">
        <v>29700</v>
      </c>
    </row>
    <row r="73" spans="3:6" x14ac:dyDescent="0.2">
      <c r="C73" s="15">
        <v>28800</v>
      </c>
    </row>
    <row r="74" spans="3:6" ht="16" thickBot="1" x14ac:dyDescent="0.25">
      <c r="C74" s="60">
        <v>30240</v>
      </c>
    </row>
    <row r="75" spans="3:6" x14ac:dyDescent="0.2">
      <c r="C75" s="15">
        <v>27000</v>
      </c>
    </row>
    <row r="76" spans="3:6" x14ac:dyDescent="0.2">
      <c r="C76" s="15">
        <v>25740</v>
      </c>
      <c r="D76">
        <f>+SUM(C65:C76)</f>
        <v>257040</v>
      </c>
      <c r="E76" s="75">
        <f>+D76-AVERAGE(D$76:D$134)</f>
        <v>18132.474576271197</v>
      </c>
      <c r="F76" s="76">
        <f>+E76/AVERAGE(D$76:D$134)</f>
        <v>7.589746092807774E-2</v>
      </c>
    </row>
    <row r="77" spans="3:6" x14ac:dyDescent="0.2">
      <c r="C77" s="15">
        <v>14400</v>
      </c>
      <c r="D77">
        <f t="shared" ref="D77:D134" si="0">+SUM(C66:C77)</f>
        <v>255960</v>
      </c>
      <c r="E77" s="75">
        <f t="shared" ref="E77:E134" si="1">+D77-AVERAGE(D$76:D$134)</f>
        <v>17052.474576271197</v>
      </c>
      <c r="F77" s="76">
        <f t="shared" ref="F77:F134" si="2">+E77/AVERAGE(D$76:D$134)</f>
        <v>7.1376883361153054E-2</v>
      </c>
    </row>
    <row r="78" spans="3:6" x14ac:dyDescent="0.2">
      <c r="C78" s="15">
        <v>8100</v>
      </c>
      <c r="D78">
        <f t="shared" si="0"/>
        <v>254340</v>
      </c>
      <c r="E78" s="75">
        <f t="shared" si="1"/>
        <v>15432.474576271197</v>
      </c>
      <c r="F78" s="76">
        <f t="shared" si="2"/>
        <v>6.4596017010766005E-2</v>
      </c>
    </row>
    <row r="79" spans="3:6" x14ac:dyDescent="0.2">
      <c r="C79" s="15">
        <v>8820</v>
      </c>
      <c r="D79">
        <f t="shared" si="0"/>
        <v>254520</v>
      </c>
      <c r="E79" s="75">
        <f t="shared" si="1"/>
        <v>15612.474576271197</v>
      </c>
      <c r="F79" s="76">
        <f t="shared" si="2"/>
        <v>6.534944660525345E-2</v>
      </c>
    </row>
    <row r="80" spans="3:6" x14ac:dyDescent="0.2">
      <c r="C80" s="1">
        <v>11700</v>
      </c>
      <c r="D80">
        <f t="shared" si="0"/>
        <v>254520</v>
      </c>
      <c r="E80" s="75">
        <f t="shared" si="1"/>
        <v>15612.474576271197</v>
      </c>
      <c r="F80" s="76">
        <f t="shared" si="2"/>
        <v>6.534944660525345E-2</v>
      </c>
    </row>
    <row r="81" spans="3:6" x14ac:dyDescent="0.2">
      <c r="C81" s="1">
        <v>20700</v>
      </c>
      <c r="D81">
        <f t="shared" si="0"/>
        <v>252720</v>
      </c>
      <c r="E81" s="75">
        <f t="shared" si="1"/>
        <v>13812.474576271197</v>
      </c>
      <c r="F81" s="76">
        <f t="shared" si="2"/>
        <v>5.7815150660378962E-2</v>
      </c>
    </row>
    <row r="82" spans="3:6" x14ac:dyDescent="0.2">
      <c r="C82" s="1">
        <v>25142</v>
      </c>
      <c r="D82">
        <f t="shared" si="0"/>
        <v>256982</v>
      </c>
      <c r="E82" s="75">
        <f t="shared" si="1"/>
        <v>18074.474576271197</v>
      </c>
      <c r="F82" s="76">
        <f t="shared" si="2"/>
        <v>7.5654689169854017E-2</v>
      </c>
    </row>
    <row r="83" spans="3:6" x14ac:dyDescent="0.2">
      <c r="C83" s="1">
        <v>21475</v>
      </c>
      <c r="D83">
        <f t="shared" si="0"/>
        <v>251817</v>
      </c>
      <c r="E83" s="75">
        <f t="shared" si="1"/>
        <v>12909.474576271197</v>
      </c>
      <c r="F83" s="76">
        <f t="shared" si="2"/>
        <v>5.403544552803359E-2</v>
      </c>
    </row>
    <row r="84" spans="3:6" x14ac:dyDescent="0.2">
      <c r="C84" s="1">
        <v>26888</v>
      </c>
      <c r="D84">
        <f t="shared" si="0"/>
        <v>249005</v>
      </c>
      <c r="E84" s="75">
        <f t="shared" si="1"/>
        <v>10097.474576271197</v>
      </c>
      <c r="F84" s="76">
        <f t="shared" si="2"/>
        <v>4.226520097415188E-2</v>
      </c>
    </row>
    <row r="85" spans="3:6" x14ac:dyDescent="0.2">
      <c r="C85" s="1">
        <v>24095</v>
      </c>
      <c r="D85">
        <f t="shared" si="0"/>
        <v>244300</v>
      </c>
      <c r="E85" s="75">
        <f t="shared" si="1"/>
        <v>5392.4745762711973</v>
      </c>
      <c r="F85" s="76">
        <f t="shared" si="2"/>
        <v>2.2571388518243828E-2</v>
      </c>
    </row>
    <row r="86" spans="3:6" x14ac:dyDescent="0.2">
      <c r="C86" s="1">
        <v>26713</v>
      </c>
      <c r="D86">
        <f t="shared" si="0"/>
        <v>240773</v>
      </c>
      <c r="E86" s="75">
        <f t="shared" si="1"/>
        <v>1865.4745762711973</v>
      </c>
      <c r="F86" s="76">
        <f t="shared" si="2"/>
        <v>7.808354186259193E-3</v>
      </c>
    </row>
    <row r="87" spans="3:6" x14ac:dyDescent="0.2">
      <c r="C87" s="1">
        <v>21825</v>
      </c>
      <c r="D87">
        <f t="shared" si="0"/>
        <v>235598</v>
      </c>
      <c r="E87" s="75">
        <f t="shared" si="1"/>
        <v>-3309.5254237288027</v>
      </c>
      <c r="F87" s="76">
        <f t="shared" si="2"/>
        <v>-1.3852746655254978E-2</v>
      </c>
    </row>
    <row r="88" spans="3:6" x14ac:dyDescent="0.2">
      <c r="C88" s="1">
        <v>17460</v>
      </c>
      <c r="D88">
        <f t="shared" si="0"/>
        <v>227318</v>
      </c>
      <c r="E88" s="75">
        <f t="shared" si="1"/>
        <v>-11589.525423728803</v>
      </c>
      <c r="F88" s="76">
        <f t="shared" si="2"/>
        <v>-4.8510508001677652E-2</v>
      </c>
    </row>
    <row r="89" spans="3:6" x14ac:dyDescent="0.2">
      <c r="C89" s="1">
        <v>17285</v>
      </c>
      <c r="D89">
        <f t="shared" si="0"/>
        <v>230203</v>
      </c>
      <c r="E89" s="75">
        <f t="shared" si="1"/>
        <v>-8704.5254237288027</v>
      </c>
      <c r="F89" s="76">
        <f t="shared" si="2"/>
        <v>-3.6434705890031588E-2</v>
      </c>
    </row>
    <row r="90" spans="3:6" x14ac:dyDescent="0.2">
      <c r="C90" s="1">
        <v>11872</v>
      </c>
      <c r="D90">
        <f t="shared" si="0"/>
        <v>233975</v>
      </c>
      <c r="E90" s="75">
        <f t="shared" si="1"/>
        <v>-4932.5254237288027</v>
      </c>
      <c r="F90" s="76">
        <f t="shared" si="2"/>
        <v>-2.0646170165550145E-2</v>
      </c>
    </row>
    <row r="91" spans="3:6" x14ac:dyDescent="0.2">
      <c r="C91" s="1">
        <v>7857</v>
      </c>
      <c r="D91">
        <f t="shared" si="0"/>
        <v>233012</v>
      </c>
      <c r="E91" s="75">
        <f t="shared" si="1"/>
        <v>-5895.5254237288027</v>
      </c>
      <c r="F91" s="76">
        <f t="shared" si="2"/>
        <v>-2.4677018496058002E-2</v>
      </c>
    </row>
    <row r="92" spans="3:6" x14ac:dyDescent="0.2">
      <c r="C92" s="1">
        <v>15714</v>
      </c>
      <c r="D92">
        <f t="shared" si="0"/>
        <v>237026</v>
      </c>
      <c r="E92" s="75">
        <f t="shared" si="1"/>
        <v>-1881.5254237288027</v>
      </c>
      <c r="F92" s="76">
        <f t="shared" si="2"/>
        <v>-7.8755385389878783E-3</v>
      </c>
    </row>
    <row r="93" spans="3:6" x14ac:dyDescent="0.2">
      <c r="C93" s="1">
        <v>15889</v>
      </c>
      <c r="D93">
        <f t="shared" si="0"/>
        <v>232215</v>
      </c>
      <c r="E93" s="75">
        <f t="shared" si="1"/>
        <v>-6692.5254237288027</v>
      </c>
      <c r="F93" s="76">
        <f t="shared" si="2"/>
        <v>-2.8013037311649652E-2</v>
      </c>
    </row>
    <row r="94" spans="3:6" x14ac:dyDescent="0.2">
      <c r="C94" s="1">
        <v>22523</v>
      </c>
      <c r="D94">
        <f t="shared" si="0"/>
        <v>229596</v>
      </c>
      <c r="E94" s="75">
        <f t="shared" si="1"/>
        <v>-9311.5254237288027</v>
      </c>
      <c r="F94" s="76">
        <f t="shared" si="2"/>
        <v>-3.8975437911442042E-2</v>
      </c>
    </row>
    <row r="95" spans="3:6" x14ac:dyDescent="0.2">
      <c r="C95" s="1">
        <v>25492</v>
      </c>
      <c r="D95">
        <f t="shared" si="0"/>
        <v>233613</v>
      </c>
      <c r="E95" s="75">
        <f t="shared" si="1"/>
        <v>-5294.5254237288027</v>
      </c>
      <c r="F95" s="76">
        <f t="shared" si="2"/>
        <v>-2.2161400794463795E-2</v>
      </c>
    </row>
    <row r="96" spans="3:6" x14ac:dyDescent="0.2">
      <c r="C96" s="1">
        <v>27586</v>
      </c>
      <c r="D96">
        <f t="shared" si="0"/>
        <v>234311</v>
      </c>
      <c r="E96" s="75">
        <f t="shared" si="1"/>
        <v>-4596.5254237288027</v>
      </c>
      <c r="F96" s="76">
        <f t="shared" si="2"/>
        <v>-1.9239768255840242E-2</v>
      </c>
    </row>
    <row r="97" spans="3:6" x14ac:dyDescent="0.2">
      <c r="C97" s="1">
        <v>30206</v>
      </c>
      <c r="D97">
        <f t="shared" si="0"/>
        <v>240422</v>
      </c>
      <c r="E97" s="75">
        <f t="shared" si="1"/>
        <v>1514.4745762711973</v>
      </c>
      <c r="F97" s="76">
        <f t="shared" si="2"/>
        <v>6.3391664770086663E-3</v>
      </c>
    </row>
    <row r="98" spans="3:6" x14ac:dyDescent="0.2">
      <c r="C98" s="1">
        <v>27761</v>
      </c>
      <c r="D98">
        <f t="shared" si="0"/>
        <v>241470</v>
      </c>
      <c r="E98" s="75">
        <f t="shared" si="1"/>
        <v>2562.4745762711973</v>
      </c>
      <c r="F98" s="76">
        <f t="shared" si="2"/>
        <v>1.0725801004913372E-2</v>
      </c>
    </row>
    <row r="99" spans="3:6" x14ac:dyDescent="0.2">
      <c r="C99" s="1">
        <v>25666</v>
      </c>
      <c r="D99">
        <f t="shared" si="0"/>
        <v>245311</v>
      </c>
      <c r="E99" s="75">
        <f t="shared" si="1"/>
        <v>6403.4745762711973</v>
      </c>
      <c r="F99" s="76">
        <f t="shared" si="2"/>
        <v>2.6803151407281667E-2</v>
      </c>
    </row>
    <row r="100" spans="3:6" x14ac:dyDescent="0.2">
      <c r="C100" s="1">
        <v>18333</v>
      </c>
      <c r="D100">
        <f t="shared" si="0"/>
        <v>246184</v>
      </c>
      <c r="E100" s="75">
        <f t="shared" si="1"/>
        <v>7276.4745762711973</v>
      </c>
      <c r="F100" s="76">
        <f t="shared" si="2"/>
        <v>3.0457284940545795E-2</v>
      </c>
    </row>
    <row r="101" spans="3:6" x14ac:dyDescent="0.2">
      <c r="C101" s="1">
        <v>19904</v>
      </c>
      <c r="D101">
        <f t="shared" si="0"/>
        <v>248803</v>
      </c>
      <c r="E101" s="75">
        <f t="shared" si="1"/>
        <v>9895.4745762711973</v>
      </c>
      <c r="F101" s="76">
        <f t="shared" si="2"/>
        <v>4.1419685540338189E-2</v>
      </c>
    </row>
    <row r="102" spans="3:6" x14ac:dyDescent="0.2">
      <c r="C102" s="1">
        <v>12397</v>
      </c>
      <c r="D102">
        <f t="shared" si="0"/>
        <v>249328</v>
      </c>
      <c r="E102" s="75">
        <f t="shared" si="1"/>
        <v>10420.474576271197</v>
      </c>
      <c r="F102" s="76">
        <f t="shared" si="2"/>
        <v>4.3617188524259914E-2</v>
      </c>
    </row>
    <row r="103" spans="3:6" x14ac:dyDescent="0.2">
      <c r="C103" s="1">
        <v>9777</v>
      </c>
      <c r="D103">
        <f t="shared" si="0"/>
        <v>251248</v>
      </c>
      <c r="E103" s="75">
        <f t="shared" si="1"/>
        <v>12340.474576271197</v>
      </c>
      <c r="F103" s="76">
        <f t="shared" si="2"/>
        <v>5.1653770865459372E-2</v>
      </c>
    </row>
    <row r="104" spans="3:6" x14ac:dyDescent="0.2">
      <c r="C104" s="1">
        <v>13270</v>
      </c>
      <c r="D104">
        <f t="shared" si="0"/>
        <v>248804</v>
      </c>
      <c r="E104" s="75">
        <f t="shared" si="1"/>
        <v>9896.4745762711973</v>
      </c>
      <c r="F104" s="76">
        <f t="shared" si="2"/>
        <v>4.1423871260307561E-2</v>
      </c>
    </row>
    <row r="105" spans="3:6" x14ac:dyDescent="0.2">
      <c r="C105" s="1">
        <v>12571</v>
      </c>
      <c r="D105">
        <f t="shared" si="0"/>
        <v>245486</v>
      </c>
      <c r="E105" s="75">
        <f t="shared" si="1"/>
        <v>6578.4745762711973</v>
      </c>
      <c r="F105" s="76">
        <f t="shared" si="2"/>
        <v>2.7535652401922243E-2</v>
      </c>
    </row>
    <row r="106" spans="3:6" x14ac:dyDescent="0.2">
      <c r="C106" s="1">
        <v>25492</v>
      </c>
      <c r="D106">
        <f t="shared" si="0"/>
        <v>248455</v>
      </c>
      <c r="E106" s="75">
        <f t="shared" si="1"/>
        <v>9547.4745762711973</v>
      </c>
      <c r="F106" s="76">
        <f t="shared" si="2"/>
        <v>3.9963054990995783E-2</v>
      </c>
    </row>
    <row r="107" spans="3:6" x14ac:dyDescent="0.2">
      <c r="C107" s="1">
        <v>24967</v>
      </c>
      <c r="D107">
        <f t="shared" si="0"/>
        <v>247930</v>
      </c>
      <c r="E107" s="75">
        <f t="shared" si="1"/>
        <v>9022.4745762711973</v>
      </c>
      <c r="F107" s="76">
        <f t="shared" si="2"/>
        <v>3.7765552007074057E-2</v>
      </c>
    </row>
    <row r="108" spans="3:6" x14ac:dyDescent="0.2">
      <c r="C108" s="1">
        <v>27587</v>
      </c>
      <c r="D108">
        <f t="shared" si="0"/>
        <v>247931</v>
      </c>
      <c r="E108" s="75">
        <f t="shared" si="1"/>
        <v>9023.4745762711973</v>
      </c>
      <c r="F108" s="76">
        <f t="shared" si="2"/>
        <v>3.776973772704343E-2</v>
      </c>
    </row>
    <row r="109" spans="3:6" x14ac:dyDescent="0.2">
      <c r="C109" s="1">
        <v>23047</v>
      </c>
      <c r="D109">
        <f t="shared" si="0"/>
        <v>240772</v>
      </c>
      <c r="E109" s="75">
        <f t="shared" si="1"/>
        <v>1864.4745762711973</v>
      </c>
      <c r="F109" s="76">
        <f t="shared" si="2"/>
        <v>7.8041684662898177E-3</v>
      </c>
    </row>
    <row r="110" spans="3:6" x14ac:dyDescent="0.2">
      <c r="C110" s="1">
        <v>23745</v>
      </c>
      <c r="D110">
        <f t="shared" si="0"/>
        <v>236756</v>
      </c>
      <c r="E110" s="75">
        <f t="shared" si="1"/>
        <v>-2151.5254237288027</v>
      </c>
      <c r="F110" s="76">
        <f t="shared" si="2"/>
        <v>-9.0056829307190531E-3</v>
      </c>
    </row>
    <row r="111" spans="3:6" x14ac:dyDescent="0.2">
      <c r="C111" s="1">
        <v>24968</v>
      </c>
      <c r="D111">
        <f t="shared" si="0"/>
        <v>236058</v>
      </c>
      <c r="E111" s="75">
        <f t="shared" si="1"/>
        <v>-2849.5254237288027</v>
      </c>
      <c r="F111" s="76">
        <f t="shared" si="2"/>
        <v>-1.1927315469342607E-2</v>
      </c>
    </row>
    <row r="112" spans="3:6" x14ac:dyDescent="0.2">
      <c r="C112" s="1">
        <v>17883</v>
      </c>
      <c r="D112">
        <f t="shared" si="0"/>
        <v>235608</v>
      </c>
      <c r="E112" s="75">
        <f t="shared" si="1"/>
        <v>-3299.5254237288027</v>
      </c>
      <c r="F112" s="76">
        <f t="shared" si="2"/>
        <v>-1.3810889455561231E-2</v>
      </c>
    </row>
    <row r="113" spans="3:6" x14ac:dyDescent="0.2">
      <c r="C113" s="1">
        <v>13270</v>
      </c>
      <c r="D113">
        <f t="shared" si="0"/>
        <v>228974</v>
      </c>
      <c r="E113" s="75">
        <f t="shared" si="1"/>
        <v>-9933.5254237288027</v>
      </c>
      <c r="F113" s="76">
        <f t="shared" si="2"/>
        <v>-4.1578955732393112E-2</v>
      </c>
    </row>
    <row r="114" spans="3:6" x14ac:dyDescent="0.2">
      <c r="C114" s="1">
        <v>13078</v>
      </c>
      <c r="D114">
        <f t="shared" si="0"/>
        <v>229655</v>
      </c>
      <c r="E114" s="75">
        <f t="shared" si="1"/>
        <v>-9252.5254237288027</v>
      </c>
      <c r="F114" s="76">
        <f t="shared" si="2"/>
        <v>-3.8728480433248932E-2</v>
      </c>
    </row>
    <row r="115" spans="3:6" x14ac:dyDescent="0.2">
      <c r="C115" s="1">
        <v>8730</v>
      </c>
      <c r="D115">
        <f t="shared" si="0"/>
        <v>228608</v>
      </c>
      <c r="E115" s="75">
        <f t="shared" si="1"/>
        <v>-10299.525423728803</v>
      </c>
      <c r="F115" s="76">
        <f t="shared" si="2"/>
        <v>-4.3110929241184259E-2</v>
      </c>
    </row>
    <row r="116" spans="3:6" x14ac:dyDescent="0.2">
      <c r="C116" s="73">
        <v>10999</v>
      </c>
      <c r="D116">
        <f t="shared" si="0"/>
        <v>226337</v>
      </c>
      <c r="E116" s="75">
        <f t="shared" si="1"/>
        <v>-12570.525423728803</v>
      </c>
      <c r="F116" s="76">
        <f t="shared" si="2"/>
        <v>-5.2616699291634247E-2</v>
      </c>
    </row>
    <row r="117" spans="3:6" x14ac:dyDescent="0.2">
      <c r="C117" s="1">
        <v>20602</v>
      </c>
      <c r="D117">
        <f t="shared" si="0"/>
        <v>234368</v>
      </c>
      <c r="E117" s="75">
        <f t="shared" si="1"/>
        <v>-4539.5254237288027</v>
      </c>
      <c r="F117" s="76">
        <f t="shared" si="2"/>
        <v>-1.9001182217585882E-2</v>
      </c>
    </row>
    <row r="118" spans="3:6" x14ac:dyDescent="0.2">
      <c r="C118" s="1">
        <v>20079</v>
      </c>
      <c r="D118">
        <f t="shared" si="0"/>
        <v>228955</v>
      </c>
      <c r="E118" s="75">
        <f t="shared" si="1"/>
        <v>-9952.5254237288027</v>
      </c>
      <c r="F118" s="76">
        <f t="shared" si="2"/>
        <v>-4.1658484411811234E-2</v>
      </c>
    </row>
    <row r="119" spans="3:6" x14ac:dyDescent="0.2">
      <c r="C119" s="1">
        <v>24619</v>
      </c>
      <c r="D119">
        <f t="shared" si="0"/>
        <v>228607</v>
      </c>
      <c r="E119" s="75">
        <f t="shared" si="1"/>
        <v>-10300.525423728803</v>
      </c>
      <c r="F119" s="76">
        <f t="shared" si="2"/>
        <v>-4.3115114961153639E-2</v>
      </c>
    </row>
    <row r="120" spans="3:6" x14ac:dyDescent="0.2">
      <c r="C120" s="1">
        <v>27586</v>
      </c>
      <c r="D120">
        <f t="shared" si="0"/>
        <v>228606</v>
      </c>
      <c r="E120" s="75">
        <f t="shared" si="1"/>
        <v>-10301.525423728803</v>
      </c>
      <c r="F120" s="76">
        <f t="shared" si="2"/>
        <v>-4.3119300681123011E-2</v>
      </c>
    </row>
    <row r="121" spans="3:6" x14ac:dyDescent="0.2">
      <c r="C121" s="1">
        <v>26190</v>
      </c>
      <c r="D121">
        <f t="shared" si="0"/>
        <v>231749</v>
      </c>
      <c r="E121" s="75">
        <f t="shared" si="1"/>
        <v>-7158.5254237288027</v>
      </c>
      <c r="F121" s="76">
        <f t="shared" si="2"/>
        <v>-2.9963582817378272E-2</v>
      </c>
    </row>
    <row r="122" spans="3:6" x14ac:dyDescent="0.2">
      <c r="C122" s="1">
        <v>24793</v>
      </c>
      <c r="D122">
        <f t="shared" si="0"/>
        <v>232797</v>
      </c>
      <c r="E122" s="75">
        <f t="shared" si="1"/>
        <v>-6110.5254237288027</v>
      </c>
      <c r="F122" s="76">
        <f t="shared" si="2"/>
        <v>-2.5576948289473565E-2</v>
      </c>
    </row>
    <row r="123" spans="3:6" x14ac:dyDescent="0.2">
      <c r="C123" s="1">
        <v>27586</v>
      </c>
      <c r="D123">
        <f t="shared" si="0"/>
        <v>235415</v>
      </c>
      <c r="E123" s="75">
        <f t="shared" si="1"/>
        <v>-3492.5254237288027</v>
      </c>
      <c r="F123" s="76">
        <f t="shared" si="2"/>
        <v>-1.4618733409650551E-2</v>
      </c>
    </row>
    <row r="124" spans="3:6" x14ac:dyDescent="0.2">
      <c r="C124" s="1">
        <v>19206</v>
      </c>
      <c r="D124">
        <f t="shared" si="0"/>
        <v>236738</v>
      </c>
      <c r="E124" s="75">
        <f t="shared" si="1"/>
        <v>-2169.5254237288027</v>
      </c>
      <c r="F124" s="76">
        <f t="shared" si="2"/>
        <v>-9.0810258901677984E-3</v>
      </c>
    </row>
    <row r="125" spans="3:6" x14ac:dyDescent="0.2">
      <c r="C125" s="1">
        <v>20428</v>
      </c>
      <c r="D125">
        <f t="shared" si="0"/>
        <v>243896</v>
      </c>
      <c r="E125" s="75">
        <f t="shared" si="1"/>
        <v>4988.4745762711973</v>
      </c>
      <c r="F125" s="76">
        <f t="shared" si="2"/>
        <v>2.0880357650616441E-2</v>
      </c>
    </row>
    <row r="126" spans="3:6" x14ac:dyDescent="0.2">
      <c r="C126" s="1">
        <v>8206</v>
      </c>
      <c r="D126">
        <f t="shared" si="0"/>
        <v>239024</v>
      </c>
      <c r="E126" s="75">
        <f t="shared" si="1"/>
        <v>116.47457627119729</v>
      </c>
      <c r="F126" s="76">
        <f t="shared" si="2"/>
        <v>4.8752995982280929E-4</v>
      </c>
    </row>
    <row r="127" spans="3:6" x14ac:dyDescent="0.2">
      <c r="C127" s="1">
        <v>8555</v>
      </c>
      <c r="D127">
        <f t="shared" si="0"/>
        <v>238849</v>
      </c>
      <c r="E127" s="75">
        <f t="shared" si="1"/>
        <v>-58.525423728802707</v>
      </c>
      <c r="F127" s="76">
        <f t="shared" si="2"/>
        <v>-2.4497103481776653E-4</v>
      </c>
    </row>
    <row r="128" spans="3:6" x14ac:dyDescent="0.2">
      <c r="C128" s="1">
        <v>9079</v>
      </c>
      <c r="D128">
        <f t="shared" si="0"/>
        <v>236929</v>
      </c>
      <c r="E128" s="75">
        <f t="shared" si="1"/>
        <v>-1978.5254237288027</v>
      </c>
      <c r="F128" s="76">
        <f t="shared" si="2"/>
        <v>-8.2815533760172266E-3</v>
      </c>
    </row>
    <row r="129" spans="3:6" x14ac:dyDescent="0.2">
      <c r="C129" s="1">
        <v>18682</v>
      </c>
      <c r="D129">
        <f t="shared" si="0"/>
        <v>235009</v>
      </c>
      <c r="E129" s="75">
        <f t="shared" si="1"/>
        <v>-3898.5254237288027</v>
      </c>
      <c r="F129" s="76">
        <f t="shared" si="2"/>
        <v>-1.6318135717216686E-2</v>
      </c>
    </row>
    <row r="130" spans="3:6" x14ac:dyDescent="0.2">
      <c r="C130" s="1">
        <v>16587</v>
      </c>
      <c r="D130">
        <f t="shared" si="0"/>
        <v>231517</v>
      </c>
      <c r="E130" s="75">
        <f t="shared" si="1"/>
        <v>-7390.5254237288027</v>
      </c>
      <c r="F130" s="76">
        <f t="shared" si="2"/>
        <v>-3.0934669850273204E-2</v>
      </c>
    </row>
    <row r="131" spans="3:6" x14ac:dyDescent="0.2">
      <c r="C131" s="1">
        <v>21127</v>
      </c>
      <c r="D131">
        <f t="shared" si="0"/>
        <v>228025</v>
      </c>
      <c r="E131" s="75">
        <f t="shared" si="1"/>
        <v>-10882.525423728803</v>
      </c>
      <c r="F131" s="76">
        <f t="shared" si="2"/>
        <v>-4.5551203983329722E-2</v>
      </c>
    </row>
    <row r="132" spans="3:6" x14ac:dyDescent="0.2">
      <c r="C132" s="1">
        <v>21475</v>
      </c>
      <c r="D132">
        <f t="shared" si="0"/>
        <v>221914</v>
      </c>
      <c r="E132" s="75">
        <f t="shared" si="1"/>
        <v>-16993.525423728803</v>
      </c>
      <c r="F132" s="76">
        <f t="shared" si="2"/>
        <v>-7.1130138716178626E-2</v>
      </c>
    </row>
    <row r="133" spans="3:6" x14ac:dyDescent="0.2">
      <c r="C133" s="1">
        <v>23746</v>
      </c>
      <c r="D133">
        <f t="shared" si="0"/>
        <v>219470</v>
      </c>
      <c r="E133" s="75">
        <f t="shared" si="1"/>
        <v>-19437.525423728803</v>
      </c>
      <c r="F133" s="76">
        <f t="shared" si="2"/>
        <v>-8.1360038321330444E-2</v>
      </c>
    </row>
    <row r="134" spans="3:6" x14ac:dyDescent="0.2">
      <c r="C134" s="1">
        <v>26015</v>
      </c>
      <c r="D134">
        <f t="shared" si="0"/>
        <v>220692</v>
      </c>
      <c r="E134" s="75">
        <f t="shared" si="1"/>
        <v>-18215.525423728803</v>
      </c>
      <c r="F134" s="76">
        <f t="shared" si="2"/>
        <v>-7.6245088518754542E-2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33CA2-C79D-6E4C-8187-B87E06C011DD}">
  <sheetPr>
    <tabColor theme="2" tint="-0.499984740745262"/>
    <pageSetUpPr fitToPage="1"/>
  </sheetPr>
  <dimension ref="B1:N36"/>
  <sheetViews>
    <sheetView workbookViewId="0">
      <selection activeCell="E11" sqref="E11"/>
    </sheetView>
  </sheetViews>
  <sheetFormatPr baseColWidth="10" defaultRowHeight="21" x14ac:dyDescent="0.25"/>
  <cols>
    <col min="3" max="3" width="35" style="28" customWidth="1"/>
    <col min="4" max="4" width="4.5" style="28" customWidth="1"/>
    <col min="5" max="5" width="13.5" style="29" customWidth="1"/>
    <col min="6" max="6" width="3.6640625" style="29" customWidth="1"/>
    <col min="7" max="7" width="15.33203125" style="28" customWidth="1"/>
    <col min="8" max="9" width="10.83203125" style="28"/>
    <col min="13" max="13" width="12.1640625" customWidth="1"/>
  </cols>
  <sheetData>
    <row r="1" spans="2:14" x14ac:dyDescent="0.25">
      <c r="B1" s="22"/>
      <c r="C1" s="36"/>
      <c r="D1" s="36"/>
      <c r="E1" s="37"/>
      <c r="F1" s="37"/>
      <c r="G1" s="36"/>
      <c r="H1" s="36"/>
      <c r="I1" s="49"/>
    </row>
    <row r="2" spans="2:14" x14ac:dyDescent="0.25">
      <c r="B2" s="24"/>
      <c r="I2" s="50"/>
    </row>
    <row r="3" spans="2:14" ht="23" thickBot="1" x14ac:dyDescent="0.35">
      <c r="B3" s="24"/>
      <c r="C3" s="38" t="s">
        <v>42</v>
      </c>
      <c r="D3" s="38"/>
      <c r="E3" s="34"/>
      <c r="F3" s="34"/>
      <c r="G3" s="30"/>
      <c r="H3" s="30"/>
      <c r="I3" s="51"/>
    </row>
    <row r="4" spans="2:14" ht="22" x14ac:dyDescent="0.3">
      <c r="B4" s="24"/>
      <c r="C4" s="30"/>
      <c r="D4" s="30"/>
      <c r="E4" s="34"/>
      <c r="F4" s="34"/>
      <c r="G4" s="30"/>
      <c r="H4" s="30"/>
      <c r="I4" s="51"/>
      <c r="M4" s="22" t="s">
        <v>46</v>
      </c>
      <c r="N4" s="23">
        <v>0.17141000000000001</v>
      </c>
    </row>
    <row r="5" spans="2:14" ht="22" x14ac:dyDescent="0.3">
      <c r="B5" s="24"/>
      <c r="C5" s="30" t="s">
        <v>37</v>
      </c>
      <c r="D5" s="30"/>
      <c r="E5" s="34"/>
      <c r="F5" s="34"/>
      <c r="G5" s="30" t="s">
        <v>39</v>
      </c>
      <c r="H5" s="30"/>
      <c r="I5" s="51"/>
      <c r="M5" s="24" t="s">
        <v>47</v>
      </c>
      <c r="N5" s="25">
        <f>+NFD!G6</f>
        <v>0.04</v>
      </c>
    </row>
    <row r="6" spans="2:14" ht="23" thickBot="1" x14ac:dyDescent="0.35">
      <c r="B6" s="24"/>
      <c r="C6" s="30" t="s">
        <v>38</v>
      </c>
      <c r="D6" s="30"/>
      <c r="E6" s="34"/>
      <c r="F6" s="34"/>
      <c r="G6" s="30" t="s">
        <v>40</v>
      </c>
      <c r="H6" s="30"/>
      <c r="I6" s="51"/>
      <c r="M6" s="26" t="s">
        <v>48</v>
      </c>
      <c r="N6" s="27">
        <v>0.9</v>
      </c>
    </row>
    <row r="7" spans="2:14" ht="22" x14ac:dyDescent="0.3">
      <c r="B7" s="24"/>
      <c r="C7" s="30" t="s">
        <v>63</v>
      </c>
      <c r="D7" s="30"/>
      <c r="E7" s="34"/>
      <c r="F7" s="34"/>
      <c r="G7" s="30" t="s">
        <v>41</v>
      </c>
      <c r="H7" s="30"/>
      <c r="I7" s="51"/>
    </row>
    <row r="8" spans="2:14" ht="22" x14ac:dyDescent="0.3">
      <c r="B8" s="24"/>
      <c r="C8" s="30"/>
      <c r="D8" s="30"/>
      <c r="E8" s="34"/>
      <c r="F8" s="34"/>
      <c r="G8" s="30"/>
      <c r="H8" s="30"/>
      <c r="I8" s="51"/>
    </row>
    <row r="9" spans="2:14" ht="22" x14ac:dyDescent="0.3">
      <c r="B9" s="24"/>
      <c r="C9" s="30"/>
      <c r="D9" s="30"/>
      <c r="E9" s="34"/>
      <c r="F9" s="34"/>
      <c r="G9" s="30"/>
      <c r="H9" s="30"/>
      <c r="I9" s="51"/>
    </row>
    <row r="10" spans="2:14" ht="22" x14ac:dyDescent="0.3">
      <c r="B10" s="24"/>
      <c r="C10" s="30" t="s">
        <v>29</v>
      </c>
      <c r="D10" s="30"/>
      <c r="E10" s="34"/>
      <c r="F10" s="34"/>
      <c r="G10" s="30"/>
      <c r="H10" s="30"/>
      <c r="I10" s="51"/>
    </row>
    <row r="11" spans="2:14" ht="22" x14ac:dyDescent="0.3">
      <c r="B11" s="24"/>
      <c r="C11" s="30" t="s">
        <v>56</v>
      </c>
      <c r="D11" s="30"/>
      <c r="E11" s="34" t="s">
        <v>79</v>
      </c>
      <c r="F11" s="34"/>
      <c r="G11" s="30"/>
      <c r="H11" s="30"/>
      <c r="I11" s="51"/>
    </row>
    <row r="12" spans="2:14" ht="22" x14ac:dyDescent="0.3">
      <c r="B12" s="24"/>
      <c r="C12" s="30" t="s">
        <v>57</v>
      </c>
      <c r="D12" s="30"/>
      <c r="E12" s="31">
        <v>44858</v>
      </c>
      <c r="F12" s="31"/>
      <c r="G12" s="30"/>
      <c r="H12" s="30"/>
      <c r="I12" s="51"/>
    </row>
    <row r="13" spans="2:14" ht="22" x14ac:dyDescent="0.3">
      <c r="B13" s="24"/>
      <c r="C13" s="30" t="s">
        <v>52</v>
      </c>
      <c r="D13" s="30"/>
      <c r="E13" s="31">
        <f>+E12+28</f>
        <v>44886</v>
      </c>
      <c r="F13" s="39"/>
      <c r="G13" s="30"/>
      <c r="H13" s="30"/>
      <c r="I13" s="51"/>
    </row>
    <row r="14" spans="2:14" ht="22" x14ac:dyDescent="0.3">
      <c r="B14" s="24"/>
      <c r="C14" s="30"/>
      <c r="D14" s="30"/>
      <c r="E14" s="39"/>
      <c r="F14" s="39"/>
      <c r="G14" s="30"/>
      <c r="H14" s="30"/>
      <c r="I14" s="51"/>
    </row>
    <row r="15" spans="2:14" ht="22" x14ac:dyDescent="0.3">
      <c r="B15" s="24"/>
      <c r="C15" s="30"/>
      <c r="D15" s="30"/>
      <c r="E15" s="34" t="s">
        <v>43</v>
      </c>
      <c r="F15" s="34"/>
      <c r="G15" s="34" t="s">
        <v>44</v>
      </c>
      <c r="H15" s="30"/>
      <c r="I15" s="51"/>
    </row>
    <row r="16" spans="2:14" ht="22" x14ac:dyDescent="0.3">
      <c r="B16" s="24"/>
      <c r="C16" s="30" t="s">
        <v>45</v>
      </c>
      <c r="D16" s="30"/>
      <c r="E16" s="46">
        <v>44823</v>
      </c>
      <c r="F16" s="31"/>
      <c r="G16" s="46">
        <v>44852</v>
      </c>
      <c r="H16" s="30"/>
      <c r="I16" s="51"/>
    </row>
    <row r="17" spans="2:9" ht="22" x14ac:dyDescent="0.3">
      <c r="B17" s="24"/>
      <c r="C17" s="30"/>
      <c r="D17" s="30"/>
      <c r="E17" s="31"/>
      <c r="F17" s="31"/>
      <c r="G17" s="46"/>
      <c r="H17" s="30"/>
      <c r="I17" s="51"/>
    </row>
    <row r="18" spans="2:9" ht="22" x14ac:dyDescent="0.3">
      <c r="B18" s="24"/>
      <c r="C18" s="30" t="s">
        <v>59</v>
      </c>
      <c r="D18" s="30"/>
      <c r="E18" s="31"/>
      <c r="F18" s="31"/>
      <c r="G18" s="54">
        <v>18333</v>
      </c>
      <c r="H18" s="30"/>
      <c r="I18" s="51"/>
    </row>
    <row r="19" spans="2:9" ht="22" x14ac:dyDescent="0.3">
      <c r="B19" s="24"/>
      <c r="C19" s="30" t="s">
        <v>60</v>
      </c>
      <c r="D19" s="30"/>
      <c r="F19" s="32"/>
      <c r="G19" s="56">
        <v>2933</v>
      </c>
      <c r="H19" s="55">
        <f>+G19/G18</f>
        <v>0.15998472699503627</v>
      </c>
      <c r="I19" s="51"/>
    </row>
    <row r="20" spans="2:9" ht="22" x14ac:dyDescent="0.3">
      <c r="B20" s="24"/>
      <c r="C20" s="30" t="s">
        <v>80</v>
      </c>
      <c r="D20" s="30"/>
      <c r="F20" s="33"/>
      <c r="G20" s="35">
        <f>+G19*N4</f>
        <v>502.74553000000003</v>
      </c>
      <c r="H20" s="30"/>
      <c r="I20" s="51"/>
    </row>
    <row r="21" spans="2:9" ht="22" x14ac:dyDescent="0.3">
      <c r="B21" s="24"/>
      <c r="C21" s="30" t="s">
        <v>35</v>
      </c>
      <c r="D21" s="30"/>
      <c r="F21" s="34"/>
      <c r="G21" s="35">
        <f>+G19*N5</f>
        <v>117.32000000000001</v>
      </c>
      <c r="H21" s="30"/>
      <c r="I21" s="51"/>
    </row>
    <row r="22" spans="2:9" ht="22" x14ac:dyDescent="0.3">
      <c r="B22" s="24"/>
      <c r="C22" s="30" t="s">
        <v>49</v>
      </c>
      <c r="D22" s="30"/>
      <c r="F22" s="35"/>
      <c r="G22" s="35">
        <f>(G20+G21)</f>
        <v>620.06553000000008</v>
      </c>
      <c r="H22" s="30"/>
      <c r="I22" s="51"/>
    </row>
    <row r="23" spans="2:9" ht="22" x14ac:dyDescent="0.3">
      <c r="B23" s="24"/>
      <c r="C23" s="30" t="s">
        <v>36</v>
      </c>
      <c r="D23" s="30"/>
      <c r="F23" s="34"/>
      <c r="G23" s="35">
        <f>+G22*0.9</f>
        <v>558.05897700000014</v>
      </c>
      <c r="H23" s="30"/>
      <c r="I23" s="51"/>
    </row>
    <row r="24" spans="2:9" ht="22" x14ac:dyDescent="0.3">
      <c r="B24" s="24"/>
      <c r="C24" s="30" t="s">
        <v>50</v>
      </c>
      <c r="D24" s="30"/>
      <c r="F24" s="35"/>
      <c r="G24" s="35">
        <f>+G22-G26</f>
        <v>62.00655299999994</v>
      </c>
      <c r="H24" s="30"/>
      <c r="I24" s="51"/>
    </row>
    <row r="25" spans="2:9" ht="22" x14ac:dyDescent="0.3">
      <c r="B25" s="24"/>
      <c r="C25" s="30"/>
      <c r="D25" s="30"/>
      <c r="F25" s="35"/>
      <c r="G25" s="35"/>
      <c r="H25" s="30"/>
      <c r="I25" s="51"/>
    </row>
    <row r="26" spans="2:9" ht="22" x14ac:dyDescent="0.3">
      <c r="B26" s="24"/>
      <c r="C26" s="38" t="s">
        <v>51</v>
      </c>
      <c r="D26" s="38"/>
      <c r="E26" s="47"/>
      <c r="F26" s="48"/>
      <c r="G26" s="48">
        <f>+G22*N6</f>
        <v>558.05897700000014</v>
      </c>
      <c r="H26" s="30"/>
      <c r="I26" s="51"/>
    </row>
    <row r="27" spans="2:9" ht="22" x14ac:dyDescent="0.3">
      <c r="B27" s="24"/>
      <c r="C27" s="40" t="s">
        <v>55</v>
      </c>
      <c r="D27" s="30"/>
      <c r="E27" s="34"/>
      <c r="F27" s="34"/>
      <c r="G27" s="30"/>
      <c r="H27" s="30"/>
      <c r="I27" s="51"/>
    </row>
    <row r="28" spans="2:9" ht="22" x14ac:dyDescent="0.3">
      <c r="B28" s="24"/>
      <c r="C28" s="30"/>
      <c r="D28" s="30"/>
      <c r="E28" s="34"/>
      <c r="F28" s="34"/>
      <c r="G28" s="30"/>
      <c r="H28" s="30"/>
      <c r="I28" s="51"/>
    </row>
    <row r="29" spans="2:9" ht="22" x14ac:dyDescent="0.3">
      <c r="B29" s="24"/>
      <c r="C29" s="30"/>
      <c r="D29" s="30"/>
      <c r="E29" s="34"/>
      <c r="F29" s="34"/>
      <c r="G29" s="30"/>
      <c r="H29" s="30"/>
      <c r="I29" s="51"/>
    </row>
    <row r="30" spans="2:9" x14ac:dyDescent="0.25">
      <c r="B30" s="24"/>
      <c r="C30" s="41" t="s">
        <v>53</v>
      </c>
      <c r="D30" s="41"/>
      <c r="E30" s="42"/>
      <c r="F30" s="42"/>
      <c r="G30" s="69">
        <v>122705</v>
      </c>
      <c r="I30" s="50"/>
    </row>
    <row r="31" spans="2:9" x14ac:dyDescent="0.25">
      <c r="B31" s="24"/>
      <c r="C31" s="41" t="s">
        <v>54</v>
      </c>
      <c r="D31" s="41"/>
      <c r="E31" s="42"/>
      <c r="F31" s="42"/>
      <c r="G31" s="43">
        <v>2445.17</v>
      </c>
      <c r="I31" s="50"/>
    </row>
    <row r="32" spans="2:9" x14ac:dyDescent="0.25">
      <c r="B32" s="24"/>
      <c r="I32" s="50"/>
    </row>
    <row r="33" spans="2:9" x14ac:dyDescent="0.25">
      <c r="B33" s="24"/>
      <c r="I33" s="50"/>
    </row>
    <row r="34" spans="2:9" x14ac:dyDescent="0.25">
      <c r="B34" s="24"/>
      <c r="I34" s="50"/>
    </row>
    <row r="35" spans="2:9" x14ac:dyDescent="0.25">
      <c r="B35" s="24"/>
      <c r="I35" s="50"/>
    </row>
    <row r="36" spans="2:9" ht="22" thickBot="1" x14ac:dyDescent="0.3">
      <c r="B36" s="26"/>
      <c r="C36" s="52" t="s">
        <v>64</v>
      </c>
      <c r="D36" s="44"/>
      <c r="E36" s="45"/>
      <c r="F36" s="45"/>
      <c r="G36" s="44"/>
      <c r="H36" s="44"/>
      <c r="I36" s="53"/>
    </row>
  </sheetData>
  <pageMargins left="0.7" right="0.7" top="0.75" bottom="0.75" header="0.3" footer="0.3"/>
  <pageSetup scale="81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NFD</vt:lpstr>
      <vt:lpstr>NFD Template</vt:lpstr>
      <vt:lpstr>TTM Trendline</vt:lpstr>
      <vt:lpstr>NFD Template-old</vt:lpstr>
      <vt:lpstr>'NFD Template'!Print_Area</vt:lpstr>
      <vt:lpstr>'NFD Template-old'!Print_Area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Malley</dc:creator>
  <cp:lastModifiedBy>Colleen Barr</cp:lastModifiedBy>
  <cp:lastPrinted>2026-05-30T21:48:51Z</cp:lastPrinted>
  <dcterms:created xsi:type="dcterms:W3CDTF">2018-03-01T17:41:44Z</dcterms:created>
  <dcterms:modified xsi:type="dcterms:W3CDTF">2026-05-30T22:01:46Z</dcterms:modified>
</cp:coreProperties>
</file>