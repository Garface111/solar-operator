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bozuwa/Library/Mobile Documents/com~apple~CloudDocs/The important Files/Solar/2. Norwich Union Village/Customers/Master Invoice Template/Billing Templates/"/>
    </mc:Choice>
  </mc:AlternateContent>
  <xr:revisionPtr revIDLastSave="0" documentId="13_ncr:1_{D4BE1874-10F6-E446-BB8E-9F14820CE50A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Fairlee" sheetId="3" r:id="rId1"/>
    <sheet name="Fairlee Template - new" sheetId="9" r:id="rId2"/>
    <sheet name="Fairlee Annual True Up" sheetId="12" r:id="rId3"/>
    <sheet name="TTM Trendline" sheetId="13" r:id="rId4"/>
  </sheets>
  <definedNames>
    <definedName name="_xlnm.Print_Area" localSheetId="0">Fairlee!$A$1:$M$32</definedName>
    <definedName name="_xlnm.Print_Area" localSheetId="2">'Fairlee Annual True Up'!$B$2:$L$24</definedName>
    <definedName name="_xlnm.Print_Area" localSheetId="1">'Fairlee Template - new'!$B$1:$I$36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5" i="3" l="1"/>
  <c r="I85" i="3"/>
  <c r="J85" i="3" s="1"/>
  <c r="K85" i="3" s="1"/>
  <c r="P85" i="3" s="1"/>
  <c r="H85" i="3"/>
  <c r="E85" i="3"/>
  <c r="O84" i="3"/>
  <c r="I84" i="3"/>
  <c r="H84" i="3"/>
  <c r="E84" i="3"/>
  <c r="O83" i="3"/>
  <c r="I83" i="3"/>
  <c r="J83" i="3" s="1"/>
  <c r="K83" i="3" s="1"/>
  <c r="P83" i="3" s="1"/>
  <c r="H83" i="3"/>
  <c r="J84" i="3" l="1"/>
  <c r="K84" i="3" s="1"/>
  <c r="P84" i="3" s="1"/>
  <c r="E83" i="3"/>
  <c r="O82" i="3"/>
  <c r="I82" i="3"/>
  <c r="H82" i="3"/>
  <c r="E82" i="3"/>
  <c r="H81" i="3"/>
  <c r="E81" i="3"/>
  <c r="O81" i="3" s="1"/>
  <c r="O80" i="3"/>
  <c r="H80" i="3"/>
  <c r="E80" i="3"/>
  <c r="I80" i="3" s="1"/>
  <c r="J82" i="3" l="1"/>
  <c r="K82" i="3" s="1"/>
  <c r="P82" i="3" s="1"/>
  <c r="I81" i="3"/>
  <c r="J80" i="3"/>
  <c r="K80" i="3"/>
  <c r="P80" i="3" s="1"/>
  <c r="H79" i="3"/>
  <c r="E79" i="3"/>
  <c r="I79" i="3" s="1"/>
  <c r="O78" i="3"/>
  <c r="I78" i="3"/>
  <c r="H78" i="3"/>
  <c r="E78" i="3"/>
  <c r="E135" i="13"/>
  <c r="F135" i="13" s="1"/>
  <c r="H66" i="3"/>
  <c r="O77" i="3"/>
  <c r="I77" i="3"/>
  <c r="H77" i="3"/>
  <c r="E77" i="3"/>
  <c r="D134" i="13"/>
  <c r="E134" i="13" s="1"/>
  <c r="F134" i="13" s="1"/>
  <c r="D133" i="13"/>
  <c r="E133" i="13" s="1"/>
  <c r="F133" i="13" s="1"/>
  <c r="D132" i="13"/>
  <c r="E132" i="13" s="1"/>
  <c r="F132" i="13" s="1"/>
  <c r="D131" i="13"/>
  <c r="E131" i="13" s="1"/>
  <c r="F131" i="13" s="1"/>
  <c r="D130" i="13"/>
  <c r="E130" i="13" s="1"/>
  <c r="F130" i="13" s="1"/>
  <c r="D129" i="13"/>
  <c r="D128" i="13"/>
  <c r="D127" i="13"/>
  <c r="D126" i="13"/>
  <c r="E126" i="13" s="1"/>
  <c r="F126" i="13" s="1"/>
  <c r="D125" i="13"/>
  <c r="E125" i="13" s="1"/>
  <c r="F125" i="13" s="1"/>
  <c r="D124" i="13"/>
  <c r="E124" i="13" s="1"/>
  <c r="F124" i="13" s="1"/>
  <c r="D123" i="13"/>
  <c r="E123" i="13" s="1"/>
  <c r="F123" i="13" s="1"/>
  <c r="D122" i="13"/>
  <c r="E122" i="13" s="1"/>
  <c r="F122" i="13" s="1"/>
  <c r="D121" i="13"/>
  <c r="D120" i="13"/>
  <c r="D119" i="13"/>
  <c r="D118" i="13"/>
  <c r="E118" i="13" s="1"/>
  <c r="F118" i="13" s="1"/>
  <c r="D117" i="13"/>
  <c r="E117" i="13" s="1"/>
  <c r="F117" i="13" s="1"/>
  <c r="D116" i="13"/>
  <c r="E116" i="13" s="1"/>
  <c r="F116" i="13" s="1"/>
  <c r="D115" i="13"/>
  <c r="E115" i="13" s="1"/>
  <c r="F115" i="13" s="1"/>
  <c r="D114" i="13"/>
  <c r="E114" i="13" s="1"/>
  <c r="F114" i="13" s="1"/>
  <c r="D113" i="13"/>
  <c r="D112" i="13"/>
  <c r="D111" i="13"/>
  <c r="D110" i="13"/>
  <c r="E110" i="13" s="1"/>
  <c r="F110" i="13" s="1"/>
  <c r="D109" i="13"/>
  <c r="E109" i="13" s="1"/>
  <c r="F109" i="13" s="1"/>
  <c r="D108" i="13"/>
  <c r="E108" i="13" s="1"/>
  <c r="F108" i="13" s="1"/>
  <c r="D107" i="13"/>
  <c r="E107" i="13" s="1"/>
  <c r="F107" i="13" s="1"/>
  <c r="D106" i="13"/>
  <c r="E106" i="13" s="1"/>
  <c r="F106" i="13" s="1"/>
  <c r="D105" i="13"/>
  <c r="D104" i="13"/>
  <c r="D103" i="13"/>
  <c r="D102" i="13"/>
  <c r="E102" i="13" s="1"/>
  <c r="F102" i="13" s="1"/>
  <c r="D101" i="13"/>
  <c r="E101" i="13" s="1"/>
  <c r="F101" i="13" s="1"/>
  <c r="D100" i="13"/>
  <c r="E100" i="13" s="1"/>
  <c r="F100" i="13" s="1"/>
  <c r="D99" i="13"/>
  <c r="E99" i="13" s="1"/>
  <c r="F99" i="13" s="1"/>
  <c r="D98" i="13"/>
  <c r="E98" i="13" s="1"/>
  <c r="F98" i="13" s="1"/>
  <c r="D97" i="13"/>
  <c r="D96" i="13"/>
  <c r="D95" i="13"/>
  <c r="D94" i="13"/>
  <c r="E94" i="13" s="1"/>
  <c r="F94" i="13" s="1"/>
  <c r="D93" i="13"/>
  <c r="E93" i="13" s="1"/>
  <c r="F93" i="13" s="1"/>
  <c r="D92" i="13"/>
  <c r="E92" i="13" s="1"/>
  <c r="F92" i="13" s="1"/>
  <c r="D91" i="13"/>
  <c r="E91" i="13" s="1"/>
  <c r="F91" i="13" s="1"/>
  <c r="D90" i="13"/>
  <c r="E90" i="13" s="1"/>
  <c r="F90" i="13" s="1"/>
  <c r="D89" i="13"/>
  <c r="D88" i="13"/>
  <c r="D87" i="13"/>
  <c r="D86" i="13"/>
  <c r="E86" i="13" s="1"/>
  <c r="F86" i="13" s="1"/>
  <c r="D85" i="13"/>
  <c r="E85" i="13" s="1"/>
  <c r="F85" i="13" s="1"/>
  <c r="D84" i="13"/>
  <c r="E84" i="13" s="1"/>
  <c r="F84" i="13" s="1"/>
  <c r="D83" i="13"/>
  <c r="E83" i="13" s="1"/>
  <c r="F83" i="13" s="1"/>
  <c r="D82" i="13"/>
  <c r="E82" i="13" s="1"/>
  <c r="F82" i="13" s="1"/>
  <c r="D81" i="13"/>
  <c r="D80" i="13"/>
  <c r="D79" i="13"/>
  <c r="D78" i="13"/>
  <c r="E78" i="13" s="1"/>
  <c r="F78" i="13" s="1"/>
  <c r="D77" i="13"/>
  <c r="E77" i="13" s="1"/>
  <c r="F77" i="13" s="1"/>
  <c r="D76" i="13"/>
  <c r="E113" i="13" s="1"/>
  <c r="F113" i="13" s="1"/>
  <c r="G29" i="9" a="1"/>
  <c r="G24" i="9" a="1"/>
  <c r="J81" i="3" l="1"/>
  <c r="K81" i="3" s="1"/>
  <c r="P81" i="3" s="1"/>
  <c r="J79" i="3"/>
  <c r="K79" i="3" s="1"/>
  <c r="P79" i="3" s="1"/>
  <c r="O79" i="3"/>
  <c r="J78" i="3"/>
  <c r="K78" i="3" s="1"/>
  <c r="P78" i="3" s="1"/>
  <c r="E79" i="13"/>
  <c r="F79" i="13" s="1"/>
  <c r="E87" i="13"/>
  <c r="F87" i="13" s="1"/>
  <c r="E95" i="13"/>
  <c r="F95" i="13" s="1"/>
  <c r="E103" i="13"/>
  <c r="F103" i="13" s="1"/>
  <c r="E111" i="13"/>
  <c r="F111" i="13" s="1"/>
  <c r="E119" i="13"/>
  <c r="F119" i="13" s="1"/>
  <c r="E127" i="13"/>
  <c r="F127" i="13" s="1"/>
  <c r="E96" i="13"/>
  <c r="F96" i="13" s="1"/>
  <c r="E120" i="13"/>
  <c r="F120" i="13" s="1"/>
  <c r="E81" i="13"/>
  <c r="F81" i="13" s="1"/>
  <c r="E105" i="13"/>
  <c r="F105" i="13" s="1"/>
  <c r="E121" i="13"/>
  <c r="F121" i="13" s="1"/>
  <c r="E76" i="13"/>
  <c r="F76" i="13" s="1"/>
  <c r="E88" i="13"/>
  <c r="F88" i="13" s="1"/>
  <c r="E112" i="13"/>
  <c r="F112" i="13" s="1"/>
  <c r="E89" i="13"/>
  <c r="F89" i="13" s="1"/>
  <c r="E129" i="13"/>
  <c r="F129" i="13" s="1"/>
  <c r="E80" i="13"/>
  <c r="F80" i="13" s="1"/>
  <c r="E104" i="13"/>
  <c r="F104" i="13" s="1"/>
  <c r="E128" i="13"/>
  <c r="F128" i="13" s="1"/>
  <c r="E97" i="13"/>
  <c r="F97" i="13" s="1"/>
  <c r="G24" i="9"/>
  <c r="G29" i="9"/>
  <c r="J77" i="3"/>
  <c r="K77" i="3" s="1"/>
  <c r="P77" i="3" s="1"/>
  <c r="O76" i="3"/>
  <c r="I76" i="3"/>
  <c r="H76" i="3"/>
  <c r="E76" i="3"/>
  <c r="O75" i="3"/>
  <c r="I75" i="3"/>
  <c r="H75" i="3"/>
  <c r="E75" i="3"/>
  <c r="O74" i="3"/>
  <c r="J74" i="3"/>
  <c r="K74" i="3" s="1"/>
  <c r="P74" i="3" s="1"/>
  <c r="I74" i="3"/>
  <c r="H74" i="3"/>
  <c r="E74" i="3"/>
  <c r="J76" i="3" l="1"/>
  <c r="K76" i="3" s="1"/>
  <c r="P76" i="3" s="1"/>
  <c r="J75" i="3"/>
  <c r="K75" i="3" s="1"/>
  <c r="P75" i="3" s="1"/>
  <c r="O73" i="3" l="1"/>
  <c r="J73" i="3"/>
  <c r="K73" i="3" s="1"/>
  <c r="P73" i="3" s="1"/>
  <c r="I73" i="3"/>
  <c r="H73" i="3"/>
  <c r="E73" i="3"/>
  <c r="O72" i="3"/>
  <c r="I72" i="3"/>
  <c r="H72" i="3"/>
  <c r="E72" i="3"/>
  <c r="I71" i="3"/>
  <c r="H71" i="3"/>
  <c r="E71" i="3"/>
  <c r="I70" i="3"/>
  <c r="H70" i="3"/>
  <c r="E70" i="3"/>
  <c r="J72" i="3" l="1"/>
  <c r="K72" i="3" s="1"/>
  <c r="P72" i="3" s="1"/>
  <c r="J71" i="3"/>
  <c r="K71" i="3" s="1"/>
  <c r="J70" i="3"/>
  <c r="K70" i="3" s="1"/>
  <c r="I69" i="3" l="1"/>
  <c r="H69" i="3"/>
  <c r="E69" i="3"/>
  <c r="H68" i="3"/>
  <c r="E68" i="3"/>
  <c r="K26" i="12"/>
  <c r="I68" i="3" l="1"/>
  <c r="J68" i="3" s="1"/>
  <c r="K68" i="3" s="1"/>
  <c r="O71" i="3"/>
  <c r="O70" i="3"/>
  <c r="O68" i="3"/>
  <c r="O69" i="3"/>
  <c r="J69" i="3"/>
  <c r="K69" i="3" s="1"/>
  <c r="O67" i="3"/>
  <c r="I67" i="3"/>
  <c r="J67" i="3" s="1"/>
  <c r="K67" i="3" s="1"/>
  <c r="P67" i="3" s="1"/>
  <c r="H67" i="3"/>
  <c r="E67" i="3"/>
  <c r="O66" i="3"/>
  <c r="I66" i="3"/>
  <c r="E66" i="3"/>
  <c r="P68" i="3" l="1"/>
  <c r="P70" i="3"/>
  <c r="P71" i="3"/>
  <c r="P69" i="3"/>
  <c r="K66" i="3"/>
  <c r="P66" i="3" s="1"/>
  <c r="J66" i="3"/>
  <c r="J15" i="12" l="1"/>
  <c r="J14" i="12"/>
  <c r="O65" i="3"/>
  <c r="I65" i="3"/>
  <c r="H65" i="3"/>
  <c r="E65" i="3"/>
  <c r="J65" i="3" l="1"/>
  <c r="K65" i="3" s="1"/>
  <c r="P65" i="3" s="1"/>
  <c r="O64" i="3"/>
  <c r="I64" i="3"/>
  <c r="J64" i="3" s="1"/>
  <c r="K64" i="3" s="1"/>
  <c r="P64" i="3" s="1"/>
  <c r="H64" i="3"/>
  <c r="E64" i="3"/>
  <c r="H63" i="3" l="1"/>
  <c r="E63" i="3"/>
  <c r="I63" i="3" s="1"/>
  <c r="O62" i="3"/>
  <c r="I62" i="3"/>
  <c r="H62" i="3"/>
  <c r="E62" i="3"/>
  <c r="O61" i="3"/>
  <c r="I61" i="3"/>
  <c r="H61" i="3"/>
  <c r="E61" i="3"/>
  <c r="O60" i="3"/>
  <c r="I60" i="3"/>
  <c r="H60" i="3"/>
  <c r="E60" i="3"/>
  <c r="O59" i="3"/>
  <c r="I59" i="3"/>
  <c r="H59" i="3"/>
  <c r="E59" i="3"/>
  <c r="H58" i="3"/>
  <c r="E58" i="3"/>
  <c r="I58" i="3" s="1"/>
  <c r="O57" i="3"/>
  <c r="H57" i="3"/>
  <c r="E57" i="3"/>
  <c r="I57" i="3" s="1"/>
  <c r="H56" i="3"/>
  <c r="E56" i="3"/>
  <c r="I56" i="3" s="1"/>
  <c r="H55" i="3"/>
  <c r="E55" i="3"/>
  <c r="O55" i="3" s="1"/>
  <c r="E54" i="3"/>
  <c r="I54" i="3" s="1"/>
  <c r="H54" i="3"/>
  <c r="O54" i="3"/>
  <c r="H53" i="3"/>
  <c r="E53" i="3"/>
  <c r="O53" i="3" s="1"/>
  <c r="O52" i="3"/>
  <c r="H52" i="3"/>
  <c r="E52" i="3"/>
  <c r="I52" i="3" s="1"/>
  <c r="J12" i="12"/>
  <c r="J11" i="12"/>
  <c r="E7" i="12"/>
  <c r="J63" i="3" l="1"/>
  <c r="K63" i="3" s="1"/>
  <c r="P63" i="3" s="1"/>
  <c r="O63" i="3"/>
  <c r="J62" i="3"/>
  <c r="K62" i="3" s="1"/>
  <c r="P62" i="3" s="1"/>
  <c r="J61" i="3"/>
  <c r="K61" i="3" s="1"/>
  <c r="P61" i="3" s="1"/>
  <c r="J60" i="3"/>
  <c r="K60" i="3" s="1"/>
  <c r="P60" i="3" s="1"/>
  <c r="J59" i="3"/>
  <c r="K59" i="3" s="1"/>
  <c r="P59" i="3" s="1"/>
  <c r="J58" i="3"/>
  <c r="K58" i="3" s="1"/>
  <c r="P58" i="3" s="1"/>
  <c r="O58" i="3"/>
  <c r="J57" i="3"/>
  <c r="K57" i="3" s="1"/>
  <c r="P57" i="3" s="1"/>
  <c r="J56" i="3"/>
  <c r="K56" i="3" s="1"/>
  <c r="P56" i="3" s="1"/>
  <c r="O56" i="3"/>
  <c r="I55" i="3"/>
  <c r="J54" i="3"/>
  <c r="K54" i="3" s="1"/>
  <c r="P54" i="3" s="1"/>
  <c r="I53" i="3"/>
  <c r="J52" i="3"/>
  <c r="K52" i="3" s="1"/>
  <c r="P52" i="3" s="1"/>
  <c r="O51" i="3"/>
  <c r="H51" i="3"/>
  <c r="E51" i="3"/>
  <c r="I51" i="3" s="1"/>
  <c r="J55" i="3" l="1"/>
  <c r="K55" i="3" s="1"/>
  <c r="P55" i="3" s="1"/>
  <c r="J53" i="3"/>
  <c r="K53" i="3" s="1"/>
  <c r="P53" i="3" s="1"/>
  <c r="K51" i="3"/>
  <c r="P51" i="3" s="1"/>
  <c r="J51" i="3"/>
  <c r="H50" i="3"/>
  <c r="E50" i="3"/>
  <c r="O50" i="3" s="1"/>
  <c r="H49" i="3"/>
  <c r="E49" i="3"/>
  <c r="O49" i="3" s="1"/>
  <c r="H48" i="3"/>
  <c r="E48" i="3"/>
  <c r="O48" i="3" s="1"/>
  <c r="H47" i="3"/>
  <c r="E47" i="3"/>
  <c r="O47" i="3" s="1"/>
  <c r="H46" i="3"/>
  <c r="E46" i="3"/>
  <c r="O46" i="3" s="1"/>
  <c r="H45" i="3"/>
  <c r="E45" i="3"/>
  <c r="O45" i="3" s="1"/>
  <c r="E44" i="3"/>
  <c r="O44" i="3"/>
  <c r="I44" i="3"/>
  <c r="H44" i="3"/>
  <c r="H43" i="3"/>
  <c r="E43" i="3"/>
  <c r="O43" i="3" s="1"/>
  <c r="E12" i="9"/>
  <c r="G20" i="9"/>
  <c r="E42" i="3"/>
  <c r="O42" i="3"/>
  <c r="H42" i="3"/>
  <c r="I42" i="3"/>
  <c r="G26" i="9" a="1"/>
  <c r="G27" i="9" a="1"/>
  <c r="G32" i="9" a="1"/>
  <c r="E16" i="9" a="1"/>
  <c r="G25" i="9" a="1"/>
  <c r="E11" i="9" a="1"/>
  <c r="G28" i="9" a="1"/>
  <c r="G16" i="9" a="1"/>
  <c r="G33" i="9" a="1"/>
  <c r="I50" i="3" l="1"/>
  <c r="I49" i="3"/>
  <c r="I48" i="3"/>
  <c r="I47" i="3"/>
  <c r="I46" i="3"/>
  <c r="I45" i="3"/>
  <c r="J44" i="3"/>
  <c r="K44" i="3" s="1"/>
  <c r="P44" i="3" s="1"/>
  <c r="I43" i="3"/>
  <c r="G28" i="9"/>
  <c r="G33" i="9"/>
  <c r="G32" i="9"/>
  <c r="G27" i="9"/>
  <c r="G26" i="9"/>
  <c r="G25" i="9"/>
  <c r="G16" i="9"/>
  <c r="E16" i="9"/>
  <c r="E11" i="9"/>
  <c r="E13" i="9"/>
  <c r="J42" i="3"/>
  <c r="K42" i="3" s="1"/>
  <c r="P42" i="3" s="1"/>
  <c r="O41" i="3"/>
  <c r="E41" i="3"/>
  <c r="E40" i="3"/>
  <c r="O40" i="3" s="1"/>
  <c r="E39" i="3"/>
  <c r="O39" i="3" s="1"/>
  <c r="J50" i="3" l="1"/>
  <c r="K50" i="3" s="1"/>
  <c r="P50" i="3" s="1"/>
  <c r="K49" i="3"/>
  <c r="P49" i="3" s="1"/>
  <c r="J49" i="3"/>
  <c r="J48" i="3"/>
  <c r="K48" i="3" s="1"/>
  <c r="P48" i="3" s="1"/>
  <c r="J47" i="3"/>
  <c r="K47" i="3" s="1"/>
  <c r="P47" i="3" s="1"/>
  <c r="J46" i="3"/>
  <c r="K46" i="3" s="1"/>
  <c r="P46" i="3" s="1"/>
  <c r="K45" i="3"/>
  <c r="P45" i="3" s="1"/>
  <c r="J45" i="3"/>
  <c r="J43" i="3"/>
  <c r="K43" i="3" s="1"/>
  <c r="P43" i="3" s="1"/>
  <c r="I41" i="3"/>
  <c r="I40" i="3"/>
  <c r="I39" i="3"/>
  <c r="J41" i="3" l="1"/>
  <c r="K41" i="3" s="1"/>
  <c r="P41" i="3" s="1"/>
  <c r="J40" i="3"/>
  <c r="K40" i="3" s="1"/>
  <c r="P40" i="3" s="1"/>
  <c r="J39" i="3"/>
  <c r="K39" i="3" s="1"/>
  <c r="P39" i="3" s="1"/>
  <c r="S2" i="3" l="1"/>
  <c r="E38" i="3"/>
  <c r="O38" i="3" s="1"/>
  <c r="P37" i="3"/>
  <c r="O37" i="3"/>
  <c r="I37" i="3"/>
  <c r="E37" i="3"/>
  <c r="O36" i="3"/>
  <c r="I36" i="3"/>
  <c r="E36" i="3"/>
  <c r="E35" i="3"/>
  <c r="I35" i="3" s="1"/>
  <c r="O34" i="3"/>
  <c r="I34" i="3"/>
  <c r="E34" i="3"/>
  <c r="I38" i="3" l="1"/>
  <c r="J37" i="3"/>
  <c r="K37" i="3" s="1"/>
  <c r="J36" i="3"/>
  <c r="K36" i="3" s="1"/>
  <c r="P36" i="3" s="1"/>
  <c r="J35" i="3"/>
  <c r="K35" i="3" s="1"/>
  <c r="P35" i="3" s="1"/>
  <c r="O35" i="3"/>
  <c r="J34" i="3"/>
  <c r="K34" i="3" s="1"/>
  <c r="P34" i="3" s="1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I33" i="3"/>
  <c r="J33" i="3" s="1"/>
  <c r="E33" i="3"/>
  <c r="I32" i="3"/>
  <c r="E32" i="3"/>
  <c r="E31" i="3"/>
  <c r="I31" i="3" s="1"/>
  <c r="E30" i="3"/>
  <c r="I30" i="3" s="1"/>
  <c r="E29" i="3"/>
  <c r="I29" i="3" s="1"/>
  <c r="E28" i="3"/>
  <c r="I28" i="3" s="1"/>
  <c r="E27" i="3"/>
  <c r="I27" i="3" s="1"/>
  <c r="E26" i="3"/>
  <c r="I26" i="3" s="1"/>
  <c r="E25" i="3"/>
  <c r="I25" i="3" s="1"/>
  <c r="E24" i="3"/>
  <c r="I24" i="3" s="1"/>
  <c r="E23" i="3"/>
  <c r="I23" i="3" s="1"/>
  <c r="E22" i="3"/>
  <c r="I22" i="3" s="1"/>
  <c r="J38" i="3" l="1"/>
  <c r="K38" i="3" s="1"/>
  <c r="P38" i="3" s="1"/>
  <c r="K33" i="3"/>
  <c r="J32" i="3"/>
  <c r="K32" i="3" s="1"/>
  <c r="J31" i="3"/>
  <c r="K31" i="3" s="1"/>
  <c r="J30" i="3"/>
  <c r="K30" i="3" s="1"/>
  <c r="K24" i="3"/>
  <c r="J24" i="3"/>
  <c r="J29" i="3"/>
  <c r="K29" i="3" s="1"/>
  <c r="J28" i="3"/>
  <c r="K28" i="3" s="1"/>
  <c r="J27" i="3"/>
  <c r="K27" i="3" s="1"/>
  <c r="J26" i="3"/>
  <c r="K26" i="3" s="1"/>
  <c r="J25" i="3"/>
  <c r="K25" i="3" s="1"/>
  <c r="J23" i="3"/>
  <c r="K23" i="3" s="1"/>
  <c r="J22" i="3"/>
  <c r="K22" i="3" s="1"/>
  <c r="E21" i="3"/>
  <c r="I21" i="3" s="1"/>
  <c r="E20" i="3"/>
  <c r="I20" i="3" s="1"/>
  <c r="J20" i="3" s="1"/>
  <c r="K20" i="3" s="1"/>
  <c r="J21" i="3" l="1"/>
  <c r="K21" i="3" s="1"/>
  <c r="E19" i="3" l="1"/>
  <c r="I19" i="3" s="1"/>
  <c r="J19" i="3" l="1"/>
  <c r="K19" i="3" s="1"/>
  <c r="E18" i="3"/>
  <c r="I18" i="3" s="1"/>
  <c r="J18" i="3" l="1"/>
  <c r="K18" i="3" s="1"/>
  <c r="E17" i="3"/>
  <c r="I17" i="3" s="1"/>
  <c r="J17" i="3" l="1"/>
  <c r="K17" i="3" s="1"/>
  <c r="M6" i="3" l="1"/>
  <c r="E16" i="3" l="1"/>
  <c r="I16" i="3" s="1"/>
  <c r="E15" i="3"/>
  <c r="I15" i="3" s="1"/>
  <c r="E14" i="3"/>
  <c r="I14" i="3" s="1"/>
  <c r="E13" i="3"/>
  <c r="I13" i="3" s="1"/>
  <c r="E12" i="3"/>
  <c r="I12" i="3" s="1"/>
  <c r="E11" i="3"/>
  <c r="I11" i="3" s="1"/>
  <c r="E10" i="3"/>
  <c r="I10" i="3" s="1"/>
  <c r="E9" i="3"/>
  <c r="I9" i="3" s="1"/>
  <c r="E8" i="3"/>
  <c r="I8" i="3" s="1"/>
  <c r="J8" i="3" s="1"/>
  <c r="E7" i="3"/>
  <c r="I7" i="3" s="1"/>
  <c r="E6" i="3"/>
  <c r="I6" i="3" s="1"/>
  <c r="E5" i="3"/>
  <c r="I5" i="3" s="1"/>
  <c r="J5" i="3" s="1"/>
  <c r="K5" i="3" s="1"/>
  <c r="J7" i="3" l="1"/>
  <c r="K7" i="3"/>
  <c r="J15" i="3"/>
  <c r="K15" i="3" s="1"/>
  <c r="J16" i="3"/>
  <c r="K16" i="3" s="1"/>
  <c r="J6" i="3"/>
  <c r="K6" i="3" s="1"/>
  <c r="K8" i="3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<sst xmlns="http://schemas.openxmlformats.org/spreadsheetml/2006/main" count="233" uniqueCount="147">
  <si>
    <t>Month</t>
  </si>
  <si>
    <t>Date start</t>
  </si>
  <si>
    <t>Date End</t>
  </si>
  <si>
    <t>kWh whole array</t>
  </si>
  <si>
    <t>April</t>
  </si>
  <si>
    <t>March</t>
  </si>
  <si>
    <t>Tariff</t>
  </si>
  <si>
    <t>Adder</t>
  </si>
  <si>
    <t>Value</t>
  </si>
  <si>
    <t>Bill</t>
  </si>
  <si>
    <t>Savings</t>
  </si>
  <si>
    <t>May</t>
  </si>
  <si>
    <t>June</t>
  </si>
  <si>
    <t xml:space="preserve">July </t>
  </si>
  <si>
    <t>August</t>
  </si>
  <si>
    <t>September</t>
  </si>
  <si>
    <t>October</t>
  </si>
  <si>
    <t>November</t>
  </si>
  <si>
    <t>December</t>
  </si>
  <si>
    <t>January</t>
  </si>
  <si>
    <t>February</t>
  </si>
  <si>
    <t>CUSTOMER</t>
  </si>
  <si>
    <t>ADDRESS</t>
  </si>
  <si>
    <t>ACCT #</t>
  </si>
  <si>
    <t>METER #</t>
  </si>
  <si>
    <t>Price Factor (100% - discount)</t>
  </si>
  <si>
    <t>Percent of solar net metering credits from the array to CUSTOMER</t>
  </si>
  <si>
    <t>One-time inputs</t>
  </si>
  <si>
    <t>Monthly inputs</t>
  </si>
  <si>
    <t xml:space="preserve"> </t>
  </si>
  <si>
    <t>Town of Fairlee</t>
  </si>
  <si>
    <t>Incentive Rate: $0.04/kWh</t>
  </si>
  <si>
    <t>Billing Rate: 90%</t>
  </si>
  <si>
    <t>HCT Sun Enterprises, LLC</t>
  </si>
  <si>
    <t>102 Kendall Station Road</t>
  </si>
  <si>
    <t>Ph:  443 824 1946</t>
  </si>
  <si>
    <t>email:  pbozuwa@gmail.com</t>
  </si>
  <si>
    <t>Attn:   Paul Bozuwa</t>
  </si>
  <si>
    <t>Invoice - Solar Power Generation</t>
  </si>
  <si>
    <t>From</t>
  </si>
  <si>
    <t>To</t>
  </si>
  <si>
    <t xml:space="preserve">Time Period Covered: </t>
  </si>
  <si>
    <t xml:space="preserve">KWH: </t>
  </si>
  <si>
    <t xml:space="preserve">Solar Value: </t>
  </si>
  <si>
    <t xml:space="preserve">Solar Savings: </t>
  </si>
  <si>
    <t>Due Date:  (28 days)</t>
  </si>
  <si>
    <t>Project Total KwH generation</t>
  </si>
  <si>
    <t>Project total financial savings</t>
  </si>
  <si>
    <t>Please make check payable to HCT Sun Enterprises, LLC</t>
  </si>
  <si>
    <t xml:space="preserve">Invoice Number: </t>
  </si>
  <si>
    <t xml:space="preserve">Invoice Date: </t>
  </si>
  <si>
    <t>Note - actual results for the billing period</t>
  </si>
  <si>
    <t xml:space="preserve">Amount Owed: </t>
  </si>
  <si>
    <t>Actual</t>
  </si>
  <si>
    <t>Flat Rate</t>
  </si>
  <si>
    <t>12/17/2019</t>
  </si>
  <si>
    <t>kWh Fairlee</t>
  </si>
  <si>
    <t>Cumm</t>
  </si>
  <si>
    <t>KwH</t>
  </si>
  <si>
    <t>Norwich, VT  05055</t>
  </si>
  <si>
    <t>HCT Sun Enterprises, LLC.    102 Kendall Station Road, Norwich, VT 05055</t>
  </si>
  <si>
    <t>check received date</t>
  </si>
  <si>
    <t>tariff and adder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</si>
  <si>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</si>
  <si>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</si>
  <si>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</si>
  <si>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</si>
  <si>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</si>
  <si>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</si>
  <si>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</si>
  <si>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</si>
  <si>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</si>
  <si>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</si>
  <si>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Inv #</t>
  </si>
  <si>
    <t>2022-10</t>
  </si>
  <si>
    <t>Tariff+Adder</t>
  </si>
  <si>
    <t>NEW ROW #</t>
  </si>
  <si>
    <t>Fixed Monthly Budget Payment</t>
  </si>
  <si>
    <t>2022-11</t>
  </si>
  <si>
    <t>2022-12</t>
  </si>
  <si>
    <t>2023-01</t>
  </si>
  <si>
    <t>2023-02</t>
  </si>
  <si>
    <t>january</t>
  </si>
  <si>
    <t>2023-03</t>
  </si>
  <si>
    <t>2023-04</t>
  </si>
  <si>
    <t>2023-05</t>
  </si>
  <si>
    <t>2023-06</t>
  </si>
  <si>
    <t>2023-07</t>
  </si>
  <si>
    <t>Annual True Up</t>
  </si>
  <si>
    <t>Total KwH Projected</t>
  </si>
  <si>
    <t>Actual KwH Produced</t>
  </si>
  <si>
    <t>Actual KwH x 90% of credit value</t>
  </si>
  <si>
    <t>Total Amount invoiced</t>
  </si>
  <si>
    <t>Amount due</t>
  </si>
  <si>
    <t>Due Date</t>
  </si>
  <si>
    <t>Year 1</t>
  </si>
  <si>
    <t>Paid</t>
  </si>
  <si>
    <t>Year 2</t>
  </si>
  <si>
    <t>HCT Sun Enterprises, LLC.    102 Kendall Station Road, Norwich, VT. 05055</t>
  </si>
  <si>
    <t>Year 3</t>
  </si>
  <si>
    <t>2023-08</t>
  </si>
  <si>
    <t>Year 4</t>
  </si>
  <si>
    <t>2023-09</t>
  </si>
  <si>
    <t>2023-10</t>
  </si>
  <si>
    <t>2023-11</t>
  </si>
  <si>
    <t>2023-12</t>
  </si>
  <si>
    <t>2024-01</t>
  </si>
  <si>
    <t>original deposit ws not successfully completed</t>
  </si>
  <si>
    <t>2024-02</t>
  </si>
  <si>
    <t>****4 cent adder is 10 years only - 2019-2029</t>
  </si>
  <si>
    <t>2024-03</t>
  </si>
  <si>
    <t>2024-04</t>
  </si>
  <si>
    <t>2024-05</t>
  </si>
  <si>
    <t>2024-06</t>
  </si>
  <si>
    <t>2024-07</t>
  </si>
  <si>
    <t>2024-08</t>
  </si>
  <si>
    <t>Net Rate: $0.18398/kWh</t>
  </si>
  <si>
    <t>2024-09</t>
  </si>
  <si>
    <t>Year 5</t>
  </si>
  <si>
    <t>2024-10</t>
  </si>
  <si>
    <t>2024-11</t>
  </si>
  <si>
    <t>2024-12</t>
  </si>
  <si>
    <t>2025-01</t>
  </si>
  <si>
    <t>2025-02</t>
  </si>
  <si>
    <t>2025-03</t>
  </si>
  <si>
    <t>KhW number transposed from 8206 t0 8026. Corrected in spreadsheet and Fairlee was notified. Actual number is 8206.</t>
  </si>
  <si>
    <t>2025-04</t>
  </si>
  <si>
    <t>2025-05</t>
  </si>
  <si>
    <t>2025-06</t>
  </si>
  <si>
    <t>2025-07</t>
  </si>
  <si>
    <t>2025-08</t>
  </si>
  <si>
    <t>Year 6</t>
  </si>
  <si>
    <t>$ 13,790.16 </t>
  </si>
  <si>
    <t>$  15,082.98 </t>
  </si>
  <si>
    <t>$  1,292.82 </t>
  </si>
  <si>
    <t>       83402 </t>
  </si>
  <si>
    <t>       82099 </t>
  </si>
  <si>
    <t>2025-09</t>
  </si>
  <si>
    <t>2025-True Up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</si>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</sst>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halkboard"/>
      <family val="4"/>
    </font>
    <font>
      <b/>
      <sz val="16"/>
      <color theme="1"/>
      <name val="Chalkboard"/>
      <family val="4"/>
    </font>
    <font>
      <b/>
      <sz val="16"/>
      <color theme="1"/>
      <name val="Calibri"/>
      <family val="2"/>
      <scheme val="minor"/>
    </font>
    <font>
      <i/>
      <sz val="12"/>
      <color theme="1"/>
      <name val="Chalkboard"/>
      <family val="4"/>
    </font>
    <font>
      <i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44" fontId="0" fillId="0" borderId="0" xfId="2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10" fontId="0" fillId="3" borderId="0" xfId="1" applyNumberFormat="1" applyFont="1" applyFill="1"/>
    <xf numFmtId="9" fontId="0" fillId="3" borderId="0" xfId="1" applyFont="1" applyFill="1"/>
    <xf numFmtId="0" fontId="0" fillId="2" borderId="0" xfId="0" applyFill="1" applyAlignment="1">
      <alignment wrapText="1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/>
    <xf numFmtId="14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right"/>
    </xf>
    <xf numFmtId="9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4" fontId="3" fillId="0" borderId="0" xfId="2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2" fillId="5" borderId="0" xfId="0" applyFont="1" applyFill="1"/>
    <xf numFmtId="0" fontId="2" fillId="5" borderId="0" xfId="0" applyFont="1" applyFill="1" applyAlignment="1">
      <alignment horizontal="right"/>
    </xf>
    <xf numFmtId="44" fontId="2" fillId="5" borderId="0" xfId="2" applyFont="1" applyFill="1" applyBorder="1"/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14" fontId="3" fillId="0" borderId="0" xfId="0" applyNumberFormat="1" applyFont="1"/>
    <xf numFmtId="0" fontId="5" fillId="0" borderId="0" xfId="0" applyFont="1" applyAlignment="1">
      <alignment horizontal="right"/>
    </xf>
    <xf numFmtId="44" fontId="4" fillId="0" borderId="0" xfId="2" applyFont="1" applyBorder="1" applyAlignment="1">
      <alignment horizontal="right"/>
    </xf>
    <xf numFmtId="0" fontId="2" fillId="0" borderId="2" xfId="0" applyFont="1" applyBorder="1"/>
    <xf numFmtId="0" fontId="2" fillId="0" borderId="4" xfId="0" applyFont="1" applyBorder="1"/>
    <xf numFmtId="0" fontId="3" fillId="0" borderId="4" xfId="0" applyFont="1" applyBorder="1"/>
    <xf numFmtId="0" fontId="5" fillId="0" borderId="8" xfId="0" applyFont="1" applyBorder="1"/>
    <xf numFmtId="0" fontId="2" fillId="0" borderId="6" xfId="0" applyFont="1" applyBorder="1"/>
    <xf numFmtId="0" fontId="6" fillId="6" borderId="0" xfId="0" applyFont="1" applyFill="1"/>
    <xf numFmtId="14" fontId="6" fillId="6" borderId="0" xfId="0" applyNumberFormat="1" applyFont="1" applyFill="1" applyAlignment="1">
      <alignment horizontal="right"/>
    </xf>
    <xf numFmtId="14" fontId="6" fillId="6" borderId="0" xfId="0" applyNumberFormat="1" applyFont="1" applyFill="1"/>
    <xf numFmtId="0" fontId="7" fillId="6" borderId="0" xfId="0" applyFont="1" applyFill="1" applyAlignment="1">
      <alignment horizontal="right"/>
    </xf>
    <xf numFmtId="166" fontId="6" fillId="6" borderId="0" xfId="3" applyNumberFormat="1" applyFont="1" applyFill="1" applyBorder="1" applyAlignment="1">
      <alignment horizontal="right"/>
    </xf>
    <xf numFmtId="2" fontId="6" fillId="6" borderId="0" xfId="0" applyNumberFormat="1" applyFont="1" applyFill="1" applyAlignment="1">
      <alignment horizontal="right"/>
    </xf>
    <xf numFmtId="44" fontId="6" fillId="6" borderId="0" xfId="2" applyFont="1" applyFill="1" applyBorder="1" applyAlignment="1">
      <alignment horizontal="right"/>
    </xf>
    <xf numFmtId="0" fontId="6" fillId="6" borderId="0" xfId="0" applyFont="1" applyFill="1" applyAlignment="1">
      <alignment horizontal="right"/>
    </xf>
    <xf numFmtId="166" fontId="3" fillId="0" borderId="0" xfId="3" applyNumberFormat="1" applyFont="1" applyBorder="1"/>
    <xf numFmtId="44" fontId="3" fillId="0" borderId="0" xfId="2" applyFont="1" applyBorder="1"/>
    <xf numFmtId="0" fontId="3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0" fillId="0" borderId="9" xfId="0" applyBorder="1" applyAlignment="1">
      <alignment horizontal="left"/>
    </xf>
    <xf numFmtId="14" fontId="0" fillId="2" borderId="9" xfId="0" applyNumberFormat="1" applyFill="1" applyBorder="1"/>
    <xf numFmtId="14" fontId="0" fillId="2" borderId="9" xfId="0" applyNumberForma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165" fontId="0" fillId="0" borderId="9" xfId="0" applyNumberFormat="1" applyBorder="1"/>
    <xf numFmtId="0" fontId="0" fillId="2" borderId="9" xfId="0" applyFill="1" applyBorder="1"/>
    <xf numFmtId="0" fontId="0" fillId="0" borderId="9" xfId="0" applyBorder="1"/>
    <xf numFmtId="44" fontId="0" fillId="0" borderId="9" xfId="2" applyFont="1" applyBorder="1"/>
    <xf numFmtId="0" fontId="0" fillId="2" borderId="8" xfId="0" applyFill="1" applyBorder="1" applyAlignment="1">
      <alignment horizontal="left"/>
    </xf>
    <xf numFmtId="44" fontId="0" fillId="0" borderId="0" xfId="2" applyFont="1" applyBorder="1"/>
    <xf numFmtId="14" fontId="0" fillId="0" borderId="0" xfId="0" applyNumberFormat="1"/>
    <xf numFmtId="14" fontId="0" fillId="0" borderId="0" xfId="0" applyNumberFormat="1" applyAlignment="1">
      <alignment horizontal="left"/>
    </xf>
    <xf numFmtId="44" fontId="0" fillId="0" borderId="0" xfId="2" applyFont="1" applyFill="1" applyBorder="1"/>
    <xf numFmtId="166" fontId="2" fillId="5" borderId="0" xfId="3" applyNumberFormat="1" applyFont="1" applyFill="1" applyBorder="1"/>
    <xf numFmtId="14" fontId="0" fillId="0" borderId="9" xfId="0" applyNumberFormat="1" applyBorder="1"/>
    <xf numFmtId="14" fontId="0" fillId="0" borderId="9" xfId="0" applyNumberFormat="1" applyBorder="1" applyAlignment="1">
      <alignment horizontal="left"/>
    </xf>
    <xf numFmtId="44" fontId="0" fillId="0" borderId="0" xfId="0" applyNumberFormat="1"/>
    <xf numFmtId="14" fontId="0" fillId="0" borderId="0" xfId="0" applyNumberFormat="1" applyAlignment="1">
      <alignment horizontal="right"/>
    </xf>
    <xf numFmtId="44" fontId="0" fillId="0" borderId="9" xfId="0" applyNumberFormat="1" applyBorder="1"/>
    <xf numFmtId="2" fontId="0" fillId="0" borderId="0" xfId="0" applyNumberFormat="1"/>
    <xf numFmtId="6" fontId="3" fillId="0" borderId="0" xfId="0" applyNumberFormat="1" applyFont="1" applyAlignment="1">
      <alignment horizontal="right"/>
    </xf>
    <xf numFmtId="6" fontId="4" fillId="0" borderId="0" xfId="2" applyNumberFormat="1" applyFont="1" applyBorder="1" applyAlignment="1">
      <alignment horizontal="right"/>
    </xf>
    <xf numFmtId="0" fontId="8" fillId="7" borderId="10" xfId="0" applyFont="1" applyFill="1" applyBorder="1"/>
    <xf numFmtId="0" fontId="8" fillId="7" borderId="11" xfId="0" applyFont="1" applyFill="1" applyBorder="1"/>
    <xf numFmtId="0" fontId="3" fillId="0" borderId="1" xfId="0" applyFont="1" applyBorder="1"/>
    <xf numFmtId="0" fontId="3" fillId="0" borderId="7" xfId="0" applyFont="1" applyBorder="1"/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3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8" xfId="0" applyFont="1" applyBorder="1"/>
    <xf numFmtId="14" fontId="3" fillId="0" borderId="19" xfId="0" applyNumberFormat="1" applyFont="1" applyBorder="1"/>
    <xf numFmtId="44" fontId="3" fillId="0" borderId="19" xfId="2" applyFont="1" applyBorder="1" applyAlignment="1">
      <alignment wrapText="1"/>
    </xf>
    <xf numFmtId="14" fontId="3" fillId="0" borderId="20" xfId="0" applyNumberFormat="1" applyFont="1" applyBorder="1" applyAlignment="1">
      <alignment wrapText="1"/>
    </xf>
    <xf numFmtId="0" fontId="6" fillId="0" borderId="3" xfId="0" applyFont="1" applyBorder="1"/>
    <xf numFmtId="0" fontId="5" fillId="0" borderId="5" xfId="0" applyFont="1" applyBorder="1"/>
    <xf numFmtId="0" fontId="3" fillId="0" borderId="8" xfId="0" applyFont="1" applyBorder="1"/>
    <xf numFmtId="0" fontId="3" fillId="0" borderId="8" xfId="0" applyFont="1" applyBorder="1" applyAlignment="1">
      <alignment wrapText="1"/>
    </xf>
    <xf numFmtId="0" fontId="3" fillId="0" borderId="6" xfId="0" applyFont="1" applyBorder="1" applyAlignment="1">
      <alignment wrapText="1"/>
    </xf>
    <xf numFmtId="44" fontId="3" fillId="0" borderId="0" xfId="0" applyNumberFormat="1" applyFont="1" applyAlignment="1">
      <alignment wrapText="1"/>
    </xf>
    <xf numFmtId="44" fontId="0" fillId="0" borderId="9" xfId="2" applyFont="1" applyFill="1" applyBorder="1"/>
    <xf numFmtId="2" fontId="0" fillId="0" borderId="9" xfId="0" applyNumberFormat="1" applyBorder="1"/>
    <xf numFmtId="3" fontId="0" fillId="0" borderId="0" xfId="0" applyNumberFormat="1" applyAlignment="1">
      <alignment horizontal="left"/>
    </xf>
    <xf numFmtId="0" fontId="9" fillId="0" borderId="0" xfId="0" applyFont="1"/>
    <xf numFmtId="0" fontId="3" fillId="0" borderId="22" xfId="0" applyFont="1" applyBorder="1"/>
    <xf numFmtId="14" fontId="3" fillId="0" borderId="22" xfId="0" applyNumberFormat="1" applyFont="1" applyBorder="1"/>
    <xf numFmtId="0" fontId="3" fillId="0" borderId="19" xfId="0" applyFont="1" applyBorder="1"/>
    <xf numFmtId="0" fontId="3" fillId="0" borderId="15" xfId="0" applyFont="1" applyBorder="1"/>
    <xf numFmtId="14" fontId="3" fillId="0" borderId="16" xfId="0" applyNumberFormat="1" applyFont="1" applyBorder="1"/>
    <xf numFmtId="44" fontId="3" fillId="0" borderId="16" xfId="2" applyFont="1" applyFill="1" applyBorder="1" applyAlignment="1">
      <alignment wrapText="1"/>
    </xf>
    <xf numFmtId="14" fontId="3" fillId="0" borderId="17" xfId="0" applyNumberFormat="1" applyFont="1" applyBorder="1" applyAlignment="1">
      <alignment wrapText="1"/>
    </xf>
    <xf numFmtId="44" fontId="3" fillId="0" borderId="22" xfId="2" applyFont="1" applyBorder="1"/>
    <xf numFmtId="44" fontId="3" fillId="0" borderId="19" xfId="2" applyFont="1" applyBorder="1"/>
    <xf numFmtId="44" fontId="3" fillId="0" borderId="21" xfId="2" applyFont="1" applyFill="1" applyBorder="1" applyAlignment="1">
      <alignment wrapText="1"/>
    </xf>
    <xf numFmtId="166" fontId="0" fillId="0" borderId="0" xfId="3" applyNumberFormat="1" applyFont="1"/>
    <xf numFmtId="9" fontId="0" fillId="0" borderId="0" xfId="1" applyFont="1"/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Norwich Whole Array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TTM</c:name>
            <c:spPr>
              <a:ln w="19050" cap="rnd">
                <a:solidFill>
                  <a:schemeClr val="accent1"/>
                </a:solidFill>
                <a:prstDash val="sysDot"/>
              </a:ln>
              <a:effectLst>
                <a:outerShdw blurRad="50800" dist="50800" dir="5400000" algn="ctr" rotWithShape="0">
                  <a:schemeClr val="accent2"/>
                </a:outerShdw>
              </a:effectLst>
            </c:spPr>
            <c:trendlineType val="movingAvg"/>
            <c:period val="12"/>
            <c:dispRSqr val="0"/>
            <c:dispEq val="0"/>
          </c:trendline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5AC-4A4B-902E-FB1C98A7A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646911"/>
        <c:axId val="543624799"/>
      </c:lineChart>
      <c:catAx>
        <c:axId val="54364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24799"/>
        <c:crosses val="autoZero"/>
        <c:auto val="1"/>
        <c:lblAlgn val="ctr"/>
        <c:lblOffset val="100"/>
        <c:noMultiLvlLbl val="0"/>
      </c:catAx>
      <c:valAx>
        <c:axId val="54362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4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83974838340741E-2"/>
          <c:y val="7.4778225806451618E-2"/>
          <c:w val="0.91845082039326087"/>
          <c:h val="0.90304435483870971"/>
        </c:manualLayout>
      </c:layout>
      <c:lineChart>
        <c:grouping val="standard"/>
        <c:varyColors val="0"/>
        <c:ser>
          <c:idx val="0"/>
          <c:order val="0"/>
          <c:tx>
            <c:v>% variation from AVG TTM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'TTM Trendline'!$F$76:$F$134</c:f>
              <c:numCache>
                <c:formatCode>0%</c:formatCode>
                <c:ptCount val="59"/>
                <c:pt idx="0">
                  <c:v>7.589746092807774E-2</c:v>
                </c:pt>
                <c:pt idx="1">
                  <c:v>7.1376883361153054E-2</c:v>
                </c:pt>
                <c:pt idx="2">
                  <c:v>6.4596017010766005E-2</c:v>
                </c:pt>
                <c:pt idx="3">
                  <c:v>6.534944660525345E-2</c:v>
                </c:pt>
                <c:pt idx="4">
                  <c:v>6.534944660525345E-2</c:v>
                </c:pt>
                <c:pt idx="5">
                  <c:v>5.7815150660378962E-2</c:v>
                </c:pt>
                <c:pt idx="6">
                  <c:v>7.5654689169854017E-2</c:v>
                </c:pt>
                <c:pt idx="7">
                  <c:v>5.403544552803359E-2</c:v>
                </c:pt>
                <c:pt idx="8">
                  <c:v>4.226520097415188E-2</c:v>
                </c:pt>
                <c:pt idx="9">
                  <c:v>2.2571388518243828E-2</c:v>
                </c:pt>
                <c:pt idx="10">
                  <c:v>7.808354186259193E-3</c:v>
                </c:pt>
                <c:pt idx="11">
                  <c:v>-1.3852746655254978E-2</c:v>
                </c:pt>
                <c:pt idx="12">
                  <c:v>-4.8510508001677652E-2</c:v>
                </c:pt>
                <c:pt idx="13">
                  <c:v>-3.6434705890031588E-2</c:v>
                </c:pt>
                <c:pt idx="14">
                  <c:v>-2.0646170165550145E-2</c:v>
                </c:pt>
                <c:pt idx="15">
                  <c:v>-2.4677018496058002E-2</c:v>
                </c:pt>
                <c:pt idx="16">
                  <c:v>-7.8755385389878783E-3</c:v>
                </c:pt>
                <c:pt idx="17">
                  <c:v>-2.8013037311649652E-2</c:v>
                </c:pt>
                <c:pt idx="18">
                  <c:v>-3.8975437911442042E-2</c:v>
                </c:pt>
                <c:pt idx="19">
                  <c:v>-2.2161400794463795E-2</c:v>
                </c:pt>
                <c:pt idx="20">
                  <c:v>-1.9239768255840242E-2</c:v>
                </c:pt>
                <c:pt idx="21">
                  <c:v>6.3391664770086663E-3</c:v>
                </c:pt>
                <c:pt idx="22">
                  <c:v>1.0725801004913372E-2</c:v>
                </c:pt>
                <c:pt idx="23">
                  <c:v>2.6803151407281667E-2</c:v>
                </c:pt>
                <c:pt idx="24">
                  <c:v>3.0457284940545795E-2</c:v>
                </c:pt>
                <c:pt idx="25">
                  <c:v>4.1419685540338189E-2</c:v>
                </c:pt>
                <c:pt idx="26">
                  <c:v>4.3617188524259914E-2</c:v>
                </c:pt>
                <c:pt idx="27">
                  <c:v>5.1653770865459372E-2</c:v>
                </c:pt>
                <c:pt idx="28">
                  <c:v>4.1423871260307561E-2</c:v>
                </c:pt>
                <c:pt idx="29">
                  <c:v>2.7535652401922243E-2</c:v>
                </c:pt>
                <c:pt idx="30">
                  <c:v>3.9963054990995783E-2</c:v>
                </c:pt>
                <c:pt idx="31">
                  <c:v>3.7765552007074057E-2</c:v>
                </c:pt>
                <c:pt idx="32">
                  <c:v>3.776973772704343E-2</c:v>
                </c:pt>
                <c:pt idx="33">
                  <c:v>7.8041684662898177E-3</c:v>
                </c:pt>
                <c:pt idx="34">
                  <c:v>-9.0056829307190531E-3</c:v>
                </c:pt>
                <c:pt idx="35">
                  <c:v>-1.1927315469342607E-2</c:v>
                </c:pt>
                <c:pt idx="36">
                  <c:v>-1.3810889455561231E-2</c:v>
                </c:pt>
                <c:pt idx="37">
                  <c:v>-4.1578955732393112E-2</c:v>
                </c:pt>
                <c:pt idx="38">
                  <c:v>-3.8728480433248932E-2</c:v>
                </c:pt>
                <c:pt idx="39">
                  <c:v>-4.3110929241184259E-2</c:v>
                </c:pt>
                <c:pt idx="40">
                  <c:v>-5.2616699291634247E-2</c:v>
                </c:pt>
                <c:pt idx="41">
                  <c:v>-1.9001182217585882E-2</c:v>
                </c:pt>
                <c:pt idx="42">
                  <c:v>-4.1658484411811234E-2</c:v>
                </c:pt>
                <c:pt idx="43">
                  <c:v>-4.3115114961153639E-2</c:v>
                </c:pt>
                <c:pt idx="44">
                  <c:v>-4.3119300681123011E-2</c:v>
                </c:pt>
                <c:pt idx="45">
                  <c:v>-2.9963582817378272E-2</c:v>
                </c:pt>
                <c:pt idx="46">
                  <c:v>-2.5576948289473565E-2</c:v>
                </c:pt>
                <c:pt idx="47">
                  <c:v>-1.4618733409650551E-2</c:v>
                </c:pt>
                <c:pt idx="48">
                  <c:v>-9.0810258901677984E-3</c:v>
                </c:pt>
                <c:pt idx="49">
                  <c:v>2.0880357650616441E-2</c:v>
                </c:pt>
                <c:pt idx="50">
                  <c:v>4.8752995982280929E-4</c:v>
                </c:pt>
                <c:pt idx="51">
                  <c:v>-2.4497103481776653E-4</c:v>
                </c:pt>
                <c:pt idx="52">
                  <c:v>-8.2815533760172266E-3</c:v>
                </c:pt>
                <c:pt idx="53">
                  <c:v>-1.6318135717216686E-2</c:v>
                </c:pt>
                <c:pt idx="54">
                  <c:v>-3.0934669850273204E-2</c:v>
                </c:pt>
                <c:pt idx="55">
                  <c:v>-4.5551203983329722E-2</c:v>
                </c:pt>
                <c:pt idx="56">
                  <c:v>-7.1130138716178626E-2</c:v>
                </c:pt>
                <c:pt idx="57">
                  <c:v>-8.1360038321330444E-2</c:v>
                </c:pt>
                <c:pt idx="58">
                  <c:v>-7.6245088518754542E-2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2-7C41-A175-257DF7552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556448"/>
        <c:axId val="1133879104"/>
      </c:lineChart>
      <c:catAx>
        <c:axId val="1906556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79104"/>
        <c:crosses val="autoZero"/>
        <c:auto val="1"/>
        <c:lblAlgn val="ctr"/>
        <c:lblOffset val="100"/>
        <c:noMultiLvlLbl val="0"/>
      </c:catAx>
      <c:valAx>
        <c:axId val="11338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556448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chemeClr val="accent2"/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673100</xdr:colOff>
      <xdr:row>1</xdr:row>
      <xdr:rowOff>0</xdr:rowOff>
    </xdr:from>
    <xdr:to>
      <xdr:col>16</xdr:col>
      <xdr:colOff>177800</xdr:colOff>
      <xdr:row>37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F8EC8-8237-F96E-26C5-65E25A951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558800</xdr:colOff>
      <xdr:row>74</xdr:row>
      <xdr:rowOff>127000</xdr:rowOff>
    </xdr:from>
    <xdr:to>
      <xdr:col>18</xdr:col>
      <xdr:colOff>571500</xdr:colOff>
      <xdr:row>107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C8E04-16A0-4707-5229-5A9844EA6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3167-C149-49A9-A9EB-40B9A25E6481}">
  <sheetPr>
    <pageSetUpPr fitToPage="1"/>
  </sheetPr>
  <dimension ref="A1:T85"/>
  <sheetViews>
    <sheetView tabSelected="1" zoomScale="107" zoomScaleNormal="107" workbookViewId="0">
      <pane ySplit="4" topLeftCell="A52" activePane="bottomLeft" state="frozen"/>
      <selection pane="bottomLeft" activeCell="H1" sqref="H1"/>
    </sheetView>
  </sheetViews>
  <sheetFormatPr baseColWidth="10" defaultColWidth="8.83203125" defaultRowHeight="15" x14ac:dyDescent="0.2"/>
  <cols>
    <col min="1" max="1" width="14.83203125" style="1" customWidth="1"/>
    <col min="2" max="2" width="15" customWidth="1"/>
    <col min="3" max="3" width="15.6640625" style="1" bestFit="1" customWidth="1"/>
    <col min="4" max="4" width="14.33203125" style="1" bestFit="1" customWidth="1"/>
    <col min="5" max="5" width="13" customWidth="1"/>
    <col min="6" max="6" width="11.6640625" customWidth="1"/>
    <col min="7" max="7" width="10.5" customWidth="1"/>
    <col min="8" max="8" width="12.6640625" customWidth="1"/>
    <col min="9" max="10" width="10.5" bestFit="1" customWidth="1"/>
    <col min="11" max="11" width="9.33203125" bestFit="1" customWidth="1"/>
    <col min="12" max="12" width="8.5" customWidth="1"/>
    <col min="14" max="14" width="3.1640625" customWidth="1"/>
    <col min="16" max="16" width="11.6640625" customWidth="1"/>
    <col min="18" max="18" width="14" customWidth="1"/>
    <col min="19" max="19" width="11.83203125" customWidth="1"/>
    <col min="20" max="20" width="14.83203125" customWidth="1"/>
  </cols>
  <sheetData>
    <row r="1" spans="1:20" ht="82" x14ac:dyDescent="0.3">
      <c r="A1" s="1" t="s">
        <v>21</v>
      </c>
      <c r="B1" t="s">
        <v>22</v>
      </c>
      <c r="C1" s="1" t="s">
        <v>23</v>
      </c>
      <c r="D1" s="1" t="s">
        <v>24</v>
      </c>
      <c r="E1" s="7" t="s">
        <v>26</v>
      </c>
      <c r="G1" s="6" t="s">
        <v>25</v>
      </c>
      <c r="J1" s="8" t="s">
        <v>27</v>
      </c>
      <c r="K1" s="11" t="s">
        <v>28</v>
      </c>
      <c r="O1" s="106" t="s">
        <v>109</v>
      </c>
    </row>
    <row r="2" spans="1:20" ht="26" customHeight="1" x14ac:dyDescent="0.2">
      <c r="A2" s="12" t="s">
        <v>30</v>
      </c>
      <c r="B2" s="13" t="s">
        <v>29</v>
      </c>
      <c r="C2" s="14" t="s">
        <v>29</v>
      </c>
      <c r="D2" s="14" t="s">
        <v>29</v>
      </c>
      <c r="E2" s="9">
        <v>0.34</v>
      </c>
      <c r="G2" s="10">
        <v>0.9</v>
      </c>
      <c r="S2" s="1">
        <f>SUM(F38:G38)</f>
        <v>0.20413000000000001</v>
      </c>
      <c r="T2" s="1"/>
    </row>
    <row r="3" spans="1:20" ht="32" x14ac:dyDescent="0.2">
      <c r="A3"/>
      <c r="E3" s="2"/>
      <c r="J3" t="s">
        <v>53</v>
      </c>
      <c r="M3" t="s">
        <v>54</v>
      </c>
      <c r="O3" t="s">
        <v>57</v>
      </c>
      <c r="P3" t="s">
        <v>57</v>
      </c>
      <c r="R3" s="6" t="s">
        <v>61</v>
      </c>
      <c r="S3" s="7" t="s">
        <v>62</v>
      </c>
      <c r="T3" s="1"/>
    </row>
    <row r="4" spans="1:20" x14ac:dyDescent="0.2">
      <c r="A4" t="s">
        <v>0</v>
      </c>
      <c r="B4" t="s">
        <v>1</v>
      </c>
      <c r="C4" s="1" t="s">
        <v>2</v>
      </c>
      <c r="D4" s="1" t="s">
        <v>3</v>
      </c>
      <c r="E4" s="2" t="s">
        <v>56</v>
      </c>
      <c r="F4" s="1" t="s">
        <v>6</v>
      </c>
      <c r="G4" s="1" t="s">
        <v>7</v>
      </c>
      <c r="H4" s="1" t="s">
        <v>75</v>
      </c>
      <c r="I4" s="1" t="s">
        <v>8</v>
      </c>
      <c r="J4" s="1" t="s">
        <v>9</v>
      </c>
      <c r="K4" s="1" t="s">
        <v>10</v>
      </c>
      <c r="L4" s="1"/>
      <c r="M4" s="1"/>
      <c r="O4" t="s">
        <v>58</v>
      </c>
      <c r="P4" t="s">
        <v>10</v>
      </c>
      <c r="Q4" t="s">
        <v>73</v>
      </c>
      <c r="R4" s="2"/>
      <c r="S4" s="1"/>
      <c r="T4" s="1"/>
    </row>
    <row r="5" spans="1:20" x14ac:dyDescent="0.2">
      <c r="A5" s="1" t="s">
        <v>14</v>
      </c>
      <c r="B5" s="16"/>
      <c r="C5" s="17"/>
      <c r="D5" s="15"/>
      <c r="E5" s="4">
        <f t="shared" ref="E5:E16" si="0">ROUND(D5*$E$2,0)</f>
        <v>0</v>
      </c>
      <c r="F5" s="3">
        <v>0.15417</v>
      </c>
      <c r="G5" s="3">
        <v>0.04</v>
      </c>
      <c r="I5" s="5">
        <f t="shared" ref="I5:I16" si="1">E5*(F5+G5)</f>
        <v>0</v>
      </c>
      <c r="J5" s="5">
        <f>I5*G$2</f>
        <v>0</v>
      </c>
      <c r="K5" s="5">
        <f t="shared" ref="K5:K16" si="2">I5-J5</f>
        <v>0</v>
      </c>
      <c r="R5" s="2"/>
      <c r="S5" s="1"/>
      <c r="T5" s="1"/>
    </row>
    <row r="6" spans="1:20" x14ac:dyDescent="0.2">
      <c r="A6" s="1" t="s">
        <v>15</v>
      </c>
      <c r="B6" s="16">
        <v>43683</v>
      </c>
      <c r="C6" s="17">
        <v>43755</v>
      </c>
      <c r="D6" s="15">
        <v>36360</v>
      </c>
      <c r="E6" s="4">
        <f t="shared" si="0"/>
        <v>12362</v>
      </c>
      <c r="F6" s="3">
        <v>0.15417</v>
      </c>
      <c r="G6" s="3">
        <v>0.04</v>
      </c>
      <c r="I6" s="5">
        <f t="shared" si="1"/>
        <v>2400.3295400000002</v>
      </c>
      <c r="J6" s="5">
        <f t="shared" ref="J6:J16" si="3">I6*G$2</f>
        <v>2160.2965860000004</v>
      </c>
      <c r="K6" s="5">
        <f t="shared" si="2"/>
        <v>240.03295399999979</v>
      </c>
      <c r="M6">
        <f>1093.11*2</f>
        <v>2186.2199999999998</v>
      </c>
      <c r="R6" s="2"/>
      <c r="S6" s="1"/>
      <c r="T6" s="1"/>
    </row>
    <row r="7" spans="1:20" x14ac:dyDescent="0.2">
      <c r="A7" s="1" t="s">
        <v>16</v>
      </c>
      <c r="B7" s="16">
        <v>43755</v>
      </c>
      <c r="C7" s="17">
        <v>43787</v>
      </c>
      <c r="D7" s="15">
        <v>15480</v>
      </c>
      <c r="E7" s="4">
        <f t="shared" si="0"/>
        <v>5263</v>
      </c>
      <c r="F7" s="3">
        <v>0.15417</v>
      </c>
      <c r="G7" s="3">
        <v>0.04</v>
      </c>
      <c r="I7" s="5">
        <f t="shared" si="1"/>
        <v>1021.9167100000001</v>
      </c>
      <c r="J7" s="5">
        <f t="shared" si="3"/>
        <v>919.72503900000004</v>
      </c>
      <c r="K7" s="5">
        <f t="shared" si="2"/>
        <v>102.19167100000004</v>
      </c>
      <c r="M7">
        <v>1093.1099999999999</v>
      </c>
      <c r="O7" s="4">
        <f>SUM(E$6:E7)</f>
        <v>17625</v>
      </c>
      <c r="P7" s="76">
        <f>SUM(K$6:K7)</f>
        <v>342.22462499999983</v>
      </c>
      <c r="R7" s="2"/>
      <c r="S7" s="1"/>
      <c r="T7" s="1"/>
    </row>
    <row r="8" spans="1:20" x14ac:dyDescent="0.2">
      <c r="A8" s="1" t="s">
        <v>17</v>
      </c>
      <c r="B8" s="16">
        <v>43787</v>
      </c>
      <c r="C8" s="18" t="s">
        <v>55</v>
      </c>
      <c r="D8" s="15">
        <v>9720</v>
      </c>
      <c r="E8" s="4">
        <f t="shared" si="0"/>
        <v>3305</v>
      </c>
      <c r="F8" s="3">
        <v>0.15417</v>
      </c>
      <c r="G8" s="3">
        <v>0.04</v>
      </c>
      <c r="I8" s="5">
        <f t="shared" si="1"/>
        <v>641.73185000000001</v>
      </c>
      <c r="J8" s="5">
        <f t="shared" si="3"/>
        <v>577.55866500000002</v>
      </c>
      <c r="K8" s="5">
        <f t="shared" si="2"/>
        <v>64.173184999999989</v>
      </c>
      <c r="M8">
        <v>1093.1099999999999</v>
      </c>
      <c r="O8" s="4">
        <f>SUM(E$6:E8)</f>
        <v>20930</v>
      </c>
      <c r="P8" s="76">
        <f>SUM(K$6:K8)</f>
        <v>406.39780999999982</v>
      </c>
    </row>
    <row r="9" spans="1:20" x14ac:dyDescent="0.2">
      <c r="A9" s="1" t="s">
        <v>18</v>
      </c>
      <c r="B9" s="19">
        <v>43816</v>
      </c>
      <c r="C9" s="17">
        <v>43846</v>
      </c>
      <c r="D9" s="15">
        <v>8640</v>
      </c>
      <c r="E9" s="4">
        <f t="shared" si="0"/>
        <v>2938</v>
      </c>
      <c r="F9" s="3">
        <v>0.15417</v>
      </c>
      <c r="G9" s="3">
        <v>0.04</v>
      </c>
      <c r="I9" s="5">
        <f t="shared" si="1"/>
        <v>570.47145999999998</v>
      </c>
      <c r="J9" s="5">
        <f t="shared" si="3"/>
        <v>513.42431399999998</v>
      </c>
      <c r="K9" s="5">
        <f t="shared" si="2"/>
        <v>57.047145999999998</v>
      </c>
      <c r="M9">
        <v>1093.1099999999999</v>
      </c>
      <c r="O9" s="4">
        <f>SUM(E$6:E9)</f>
        <v>23868</v>
      </c>
      <c r="P9" s="76">
        <f>SUM(K$6:K9)</f>
        <v>463.44495599999982</v>
      </c>
    </row>
    <row r="10" spans="1:20" x14ac:dyDescent="0.2">
      <c r="A10" s="1" t="s">
        <v>19</v>
      </c>
      <c r="B10" s="16">
        <v>43846</v>
      </c>
      <c r="C10" s="17">
        <v>43878</v>
      </c>
      <c r="D10" s="15">
        <v>11700</v>
      </c>
      <c r="E10" s="4">
        <f t="shared" si="0"/>
        <v>3978</v>
      </c>
      <c r="F10" s="3">
        <v>0.15417</v>
      </c>
      <c r="G10" s="3">
        <v>0.04</v>
      </c>
      <c r="I10" s="5">
        <f t="shared" si="1"/>
        <v>772.40826000000004</v>
      </c>
      <c r="J10" s="5">
        <f t="shared" si="3"/>
        <v>695.16743400000007</v>
      </c>
      <c r="K10" s="5">
        <f t="shared" si="2"/>
        <v>77.24082599999997</v>
      </c>
      <c r="M10">
        <v>1093.1099999999999</v>
      </c>
      <c r="O10" s="4">
        <f>SUM(E$6:E10)</f>
        <v>27846</v>
      </c>
      <c r="P10" s="76">
        <f>SUM(K$6:K10)</f>
        <v>540.68578199999979</v>
      </c>
    </row>
    <row r="11" spans="1:20" x14ac:dyDescent="0.2">
      <c r="A11" s="1" t="s">
        <v>20</v>
      </c>
      <c r="B11" s="16">
        <v>43878</v>
      </c>
      <c r="C11" s="17">
        <v>43907</v>
      </c>
      <c r="D11" s="15">
        <v>22500</v>
      </c>
      <c r="E11" s="4">
        <f t="shared" si="0"/>
        <v>7650</v>
      </c>
      <c r="F11" s="3">
        <v>0.15417</v>
      </c>
      <c r="G11" s="3">
        <v>0.04</v>
      </c>
      <c r="I11" s="5">
        <f t="shared" si="1"/>
        <v>1485.4005</v>
      </c>
      <c r="J11" s="5">
        <f t="shared" si="3"/>
        <v>1336.8604499999999</v>
      </c>
      <c r="K11" s="5">
        <f t="shared" si="2"/>
        <v>148.54005000000006</v>
      </c>
      <c r="M11">
        <v>1093.1099999999999</v>
      </c>
      <c r="O11" s="4">
        <f>SUM(E$6:E11)</f>
        <v>35496</v>
      </c>
      <c r="P11" s="76">
        <f>SUM(K$6:K11)</f>
        <v>689.22583199999985</v>
      </c>
    </row>
    <row r="12" spans="1:20" x14ac:dyDescent="0.2">
      <c r="A12" s="1" t="s">
        <v>5</v>
      </c>
      <c r="B12" s="16">
        <v>43907</v>
      </c>
      <c r="C12" s="17">
        <v>43938</v>
      </c>
      <c r="D12" s="15">
        <v>20880</v>
      </c>
      <c r="E12" s="4">
        <f t="shared" si="0"/>
        <v>7099</v>
      </c>
      <c r="F12" s="3">
        <v>0.15417</v>
      </c>
      <c r="G12" s="3">
        <v>0.04</v>
      </c>
      <c r="I12" s="5">
        <f t="shared" si="1"/>
        <v>1378.41283</v>
      </c>
      <c r="J12" s="5">
        <f t="shared" si="3"/>
        <v>1240.571547</v>
      </c>
      <c r="K12" s="5">
        <f t="shared" si="2"/>
        <v>137.84128299999998</v>
      </c>
      <c r="M12">
        <v>1093.1099999999999</v>
      </c>
      <c r="O12" s="4">
        <f>SUM(E$6:E12)</f>
        <v>42595</v>
      </c>
      <c r="P12" s="76">
        <f>SUM(K$6:K12)</f>
        <v>827.06711499999983</v>
      </c>
    </row>
    <row r="13" spans="1:20" x14ac:dyDescent="0.2">
      <c r="A13" s="1" t="s">
        <v>4</v>
      </c>
      <c r="B13" s="16">
        <v>43938</v>
      </c>
      <c r="C13" s="17">
        <v>43969</v>
      </c>
      <c r="D13" s="15">
        <v>26640</v>
      </c>
      <c r="E13" s="4">
        <f t="shared" si="0"/>
        <v>9058</v>
      </c>
      <c r="F13" s="3">
        <v>0.15417</v>
      </c>
      <c r="G13" s="3">
        <v>0.04</v>
      </c>
      <c r="I13" s="5">
        <f t="shared" si="1"/>
        <v>1758.79186</v>
      </c>
      <c r="J13" s="5">
        <f t="shared" si="3"/>
        <v>1582.9126740000002</v>
      </c>
      <c r="K13" s="5">
        <f t="shared" si="2"/>
        <v>175.87918599999989</v>
      </c>
      <c r="M13">
        <v>1093.1099999999999</v>
      </c>
      <c r="O13" s="4">
        <f>SUM(E$6:E13)</f>
        <v>51653</v>
      </c>
      <c r="P13" s="76">
        <f>SUM(K$6:K13)</f>
        <v>1002.9463009999997</v>
      </c>
    </row>
    <row r="14" spans="1:20" x14ac:dyDescent="0.2">
      <c r="A14" s="1" t="s">
        <v>11</v>
      </c>
      <c r="B14" s="16">
        <v>43969</v>
      </c>
      <c r="C14" s="17">
        <v>43999</v>
      </c>
      <c r="D14" s="15">
        <v>29700</v>
      </c>
      <c r="E14" s="4">
        <f t="shared" si="0"/>
        <v>10098</v>
      </c>
      <c r="F14" s="3">
        <v>0.15417</v>
      </c>
      <c r="G14" s="3">
        <v>0.04</v>
      </c>
      <c r="I14" s="5">
        <f t="shared" si="1"/>
        <v>1960.72866</v>
      </c>
      <c r="J14" s="5">
        <f t="shared" si="3"/>
        <v>1764.655794</v>
      </c>
      <c r="K14" s="5">
        <f t="shared" si="2"/>
        <v>196.07286599999998</v>
      </c>
      <c r="M14">
        <v>1093.1099999999999</v>
      </c>
      <c r="O14" s="4">
        <f>SUM(E$6:E14)</f>
        <v>61751</v>
      </c>
      <c r="P14" s="76">
        <f>SUM(K$6:K14)</f>
        <v>1199.0191669999997</v>
      </c>
    </row>
    <row r="15" spans="1:20" x14ac:dyDescent="0.2">
      <c r="A15" s="1" t="s">
        <v>12</v>
      </c>
      <c r="B15" s="16">
        <v>43999</v>
      </c>
      <c r="C15" s="17">
        <v>44029</v>
      </c>
      <c r="D15" s="15">
        <v>28800</v>
      </c>
      <c r="E15" s="4">
        <f t="shared" si="0"/>
        <v>9792</v>
      </c>
      <c r="F15" s="3">
        <v>0.15417</v>
      </c>
      <c r="G15" s="3">
        <v>0.04</v>
      </c>
      <c r="I15" s="5">
        <f t="shared" si="1"/>
        <v>1901.3126400000001</v>
      </c>
      <c r="J15" s="5">
        <f t="shared" si="3"/>
        <v>1711.1813760000002</v>
      </c>
      <c r="K15" s="5">
        <f t="shared" si="2"/>
        <v>190.13126399999987</v>
      </c>
      <c r="M15">
        <v>1093.1099999999999</v>
      </c>
      <c r="O15" s="4">
        <f>SUM(E$6:E15)</f>
        <v>71543</v>
      </c>
      <c r="P15" s="76">
        <f>SUM(K$6:K15)</f>
        <v>1389.1504309999996</v>
      </c>
    </row>
    <row r="16" spans="1:20" x14ac:dyDescent="0.2">
      <c r="A16" s="60" t="s">
        <v>13</v>
      </c>
      <c r="B16" s="61">
        <v>44029</v>
      </c>
      <c r="C16" s="62">
        <v>44061</v>
      </c>
      <c r="D16" s="63">
        <v>30240</v>
      </c>
      <c r="E16" s="64">
        <f t="shared" si="0"/>
        <v>10282</v>
      </c>
      <c r="F16" s="65">
        <v>0.15417</v>
      </c>
      <c r="G16" s="65">
        <v>0.04</v>
      </c>
      <c r="H16" s="66"/>
      <c r="I16" s="67">
        <f t="shared" si="1"/>
        <v>1996.4559400000001</v>
      </c>
      <c r="J16" s="67">
        <f t="shared" si="3"/>
        <v>1796.810346</v>
      </c>
      <c r="K16" s="67">
        <f t="shared" si="2"/>
        <v>199.64559400000007</v>
      </c>
      <c r="L16" s="66"/>
      <c r="M16" s="66">
        <v>1093.1099999999999</v>
      </c>
      <c r="O16" s="4">
        <f>SUM(E$6:E16)</f>
        <v>81825</v>
      </c>
      <c r="P16" s="76">
        <f>SUM(K$6:K16)</f>
        <v>1588.7960249999996</v>
      </c>
    </row>
    <row r="17" spans="1:18" x14ac:dyDescent="0.2">
      <c r="A17" s="1" t="s">
        <v>14</v>
      </c>
      <c r="B17" s="16">
        <v>44061</v>
      </c>
      <c r="C17" s="17">
        <v>44091</v>
      </c>
      <c r="D17" s="15">
        <v>27000</v>
      </c>
      <c r="E17" s="4">
        <f t="shared" ref="E17" si="4">ROUND(D17*$E$2,0)</f>
        <v>9180</v>
      </c>
      <c r="F17" s="3">
        <v>0.15417</v>
      </c>
      <c r="G17" s="3">
        <v>0.04</v>
      </c>
      <c r="I17" s="69">
        <f t="shared" ref="I17" si="5">E17*(F17+G17)</f>
        <v>1782.4806000000001</v>
      </c>
      <c r="J17" s="69">
        <f t="shared" ref="J17" si="6">I17*G$2</f>
        <v>1604.2325400000002</v>
      </c>
      <c r="K17" s="69">
        <f t="shared" ref="K17" si="7">I17-J17</f>
        <v>178.2480599999999</v>
      </c>
      <c r="M17">
        <v>1093.1099999999999</v>
      </c>
      <c r="O17" s="4">
        <f>SUM(E$6:E17)</f>
        <v>91005</v>
      </c>
      <c r="P17" s="76">
        <f>SUM(K$6:K17)</f>
        <v>1767.0440849999995</v>
      </c>
    </row>
    <row r="18" spans="1:18" x14ac:dyDescent="0.2">
      <c r="A18" s="1" t="s">
        <v>15</v>
      </c>
      <c r="B18" s="16">
        <v>44091</v>
      </c>
      <c r="C18" s="17">
        <v>44123</v>
      </c>
      <c r="D18" s="15">
        <v>25740</v>
      </c>
      <c r="E18" s="4">
        <f t="shared" ref="E18:E20" si="8">ROUND(D18*$E$2,0)</f>
        <v>8752</v>
      </c>
      <c r="F18" s="3">
        <v>0.15417</v>
      </c>
      <c r="G18" s="3">
        <v>0.04</v>
      </c>
      <c r="I18" s="69">
        <f t="shared" ref="I18" si="9">E18*(F18+G18)</f>
        <v>1699.3758400000002</v>
      </c>
      <c r="J18" s="69">
        <f t="shared" ref="J18" si="10">I18*G$2</f>
        <v>1529.4382560000001</v>
      </c>
      <c r="K18" s="69">
        <f t="shared" ref="K18" si="11">I18-J18</f>
        <v>169.93758400000002</v>
      </c>
      <c r="M18">
        <v>1093.1099999999999</v>
      </c>
      <c r="O18" s="4">
        <f>SUM(E$6:E18)</f>
        <v>99757</v>
      </c>
      <c r="P18" s="76">
        <f>SUM(K$6:K18)</f>
        <v>1936.9816689999996</v>
      </c>
    </row>
    <row r="19" spans="1:18" x14ac:dyDescent="0.2">
      <c r="A19" s="1" t="s">
        <v>16</v>
      </c>
      <c r="B19" s="16">
        <v>44123</v>
      </c>
      <c r="C19" s="17">
        <v>44153</v>
      </c>
      <c r="D19" s="15">
        <v>14400</v>
      </c>
      <c r="E19" s="4">
        <f t="shared" si="8"/>
        <v>4896</v>
      </c>
      <c r="F19" s="3">
        <v>0.15417</v>
      </c>
      <c r="G19" s="3">
        <v>0.04</v>
      </c>
      <c r="I19" s="69">
        <f t="shared" ref="I19" si="12">E19*(F19+G19)</f>
        <v>950.65632000000005</v>
      </c>
      <c r="J19" s="69">
        <f t="shared" ref="J19" si="13">I19*G$2</f>
        <v>855.59068800000011</v>
      </c>
      <c r="K19" s="69">
        <f t="shared" ref="K19" si="14">I19-J19</f>
        <v>95.065631999999937</v>
      </c>
      <c r="M19">
        <v>1093.1099999999999</v>
      </c>
      <c r="O19" s="4">
        <f>SUM(E$6:E19)</f>
        <v>104653</v>
      </c>
      <c r="P19" s="76">
        <f>SUM(K$6:K19)</f>
        <v>2032.0473009999996</v>
      </c>
    </row>
    <row r="20" spans="1:18" x14ac:dyDescent="0.2">
      <c r="A20" s="1" t="s">
        <v>17</v>
      </c>
      <c r="B20" s="16">
        <v>44153</v>
      </c>
      <c r="C20" s="17">
        <v>44181</v>
      </c>
      <c r="D20" s="15">
        <v>8100</v>
      </c>
      <c r="E20" s="4">
        <f t="shared" si="8"/>
        <v>2754</v>
      </c>
      <c r="F20" s="3">
        <v>0.15417</v>
      </c>
      <c r="G20" s="3">
        <v>0.04</v>
      </c>
      <c r="I20" s="69">
        <f t="shared" ref="I20" si="15">E20*(F20+G20)</f>
        <v>534.74418000000003</v>
      </c>
      <c r="J20" s="69">
        <f t="shared" ref="J20" si="16">I20*G$2</f>
        <v>481.26976200000001</v>
      </c>
      <c r="K20" s="69">
        <f t="shared" ref="K20" si="17">I20-J20</f>
        <v>53.474418000000014</v>
      </c>
      <c r="M20">
        <v>1093.1099999999999</v>
      </c>
      <c r="O20" s="4">
        <f>SUM(E$6:E20)</f>
        <v>107407</v>
      </c>
      <c r="P20" s="76">
        <f>SUM(K$6:K20)</f>
        <v>2085.5217189999994</v>
      </c>
    </row>
    <row r="21" spans="1:18" x14ac:dyDescent="0.2">
      <c r="A21" s="1" t="s">
        <v>18</v>
      </c>
      <c r="B21" s="16">
        <v>44181</v>
      </c>
      <c r="C21" s="17">
        <v>44211</v>
      </c>
      <c r="D21" s="15">
        <v>8820</v>
      </c>
      <c r="E21" s="4">
        <f t="shared" ref="E21:E22" si="18">ROUND(D21*$E$2,0)</f>
        <v>2999</v>
      </c>
      <c r="F21" s="3">
        <v>0.15417</v>
      </c>
      <c r="G21" s="3">
        <v>0.04</v>
      </c>
      <c r="I21" s="69">
        <f t="shared" ref="I21" si="19">E21*(F21+G21)</f>
        <v>582.31583000000001</v>
      </c>
      <c r="J21" s="69">
        <f t="shared" ref="J21" si="20">I21*G$2</f>
        <v>524.084247</v>
      </c>
      <c r="K21" s="69">
        <f t="shared" ref="K21" si="21">I21-J21</f>
        <v>58.231583000000001</v>
      </c>
      <c r="M21">
        <v>1093.1099999999999</v>
      </c>
      <c r="O21" s="4">
        <f>SUM(E$6:E21)</f>
        <v>110406</v>
      </c>
      <c r="P21" s="76">
        <f>SUM(K$6:K21)</f>
        <v>2143.7533019999992</v>
      </c>
    </row>
    <row r="22" spans="1:18" x14ac:dyDescent="0.2">
      <c r="A22" s="1" t="s">
        <v>19</v>
      </c>
      <c r="B22" s="70">
        <v>44211</v>
      </c>
      <c r="C22" s="71">
        <v>44243</v>
      </c>
      <c r="D22" s="1">
        <v>11700</v>
      </c>
      <c r="E22" s="4">
        <f t="shared" si="18"/>
        <v>3978</v>
      </c>
      <c r="F22" s="3">
        <v>0.16413</v>
      </c>
      <c r="G22" s="3">
        <v>0.04</v>
      </c>
      <c r="I22" s="69">
        <f t="shared" ref="I22" si="22">E22*(F22+G22)</f>
        <v>812.02913999999998</v>
      </c>
      <c r="J22" s="69">
        <f t="shared" ref="J22" si="23">I22*G$2</f>
        <v>730.82622600000002</v>
      </c>
      <c r="K22" s="69">
        <f t="shared" ref="K22" si="24">I22-J22</f>
        <v>81.202913999999964</v>
      </c>
      <c r="M22">
        <v>1149.18</v>
      </c>
      <c r="O22" s="4">
        <f>SUM(E$6:E22)</f>
        <v>114384</v>
      </c>
      <c r="P22" s="76">
        <f>SUM(K$6:K22)</f>
        <v>2224.9562159999991</v>
      </c>
    </row>
    <row r="23" spans="1:18" x14ac:dyDescent="0.2">
      <c r="A23" s="1" t="s">
        <v>20</v>
      </c>
      <c r="B23" s="70">
        <v>44243</v>
      </c>
      <c r="C23" s="71">
        <v>44272</v>
      </c>
      <c r="D23" s="1">
        <v>20700</v>
      </c>
      <c r="E23" s="4">
        <f t="shared" ref="E23:E28" si="25">ROUND(D23*$E$2,0)</f>
        <v>7038</v>
      </c>
      <c r="F23" s="3">
        <v>0.16413</v>
      </c>
      <c r="G23" s="3">
        <v>0.04</v>
      </c>
      <c r="I23" s="69">
        <f t="shared" ref="I23" si="26">E23*(F23+G23)</f>
        <v>1436.6669400000001</v>
      </c>
      <c r="J23" s="69">
        <f t="shared" ref="J23" si="27">I23*G$2</f>
        <v>1293.0002460000001</v>
      </c>
      <c r="K23" s="69">
        <f t="shared" ref="K23" si="28">I23-J23</f>
        <v>143.66669400000001</v>
      </c>
      <c r="M23">
        <v>1149.18</v>
      </c>
      <c r="O23" s="4">
        <f>SUM(E$6:E23)</f>
        <v>121422</v>
      </c>
      <c r="P23" s="76">
        <f>SUM(K$6:K23)</f>
        <v>2368.6229099999991</v>
      </c>
    </row>
    <row r="24" spans="1:18" x14ac:dyDescent="0.2">
      <c r="A24" s="1" t="s">
        <v>5</v>
      </c>
      <c r="B24" s="70">
        <v>44272</v>
      </c>
      <c r="C24" s="71">
        <v>44302</v>
      </c>
      <c r="D24" s="1">
        <v>25142</v>
      </c>
      <c r="E24" s="4">
        <f t="shared" si="25"/>
        <v>8548</v>
      </c>
      <c r="F24" s="3">
        <v>0.16413</v>
      </c>
      <c r="G24" s="3">
        <v>0.04</v>
      </c>
      <c r="I24" s="69">
        <f t="shared" ref="I24" si="29">E24*(F24+G24)</f>
        <v>1744.9032400000001</v>
      </c>
      <c r="J24" s="69">
        <f t="shared" ref="J24" si="30">I24*G$2</f>
        <v>1570.4129160000002</v>
      </c>
      <c r="K24" s="69">
        <f t="shared" ref="K24" si="31">I24-J24</f>
        <v>174.49032399999987</v>
      </c>
      <c r="M24">
        <v>1149.18</v>
      </c>
      <c r="O24" s="4">
        <f>SUM(E$6:E24)</f>
        <v>129970</v>
      </c>
      <c r="P24" s="76">
        <f>SUM(K$6:K24)</f>
        <v>2543.113233999999</v>
      </c>
    </row>
    <row r="25" spans="1:18" x14ac:dyDescent="0.2">
      <c r="A25" s="1" t="s">
        <v>4</v>
      </c>
      <c r="B25" s="70">
        <v>44302</v>
      </c>
      <c r="C25" s="71">
        <v>44334</v>
      </c>
      <c r="D25" s="1">
        <v>21475</v>
      </c>
      <c r="E25" s="4">
        <f t="shared" si="25"/>
        <v>7302</v>
      </c>
      <c r="F25" s="3">
        <v>0.16413</v>
      </c>
      <c r="G25" s="3">
        <v>0.04</v>
      </c>
      <c r="I25" s="69">
        <f t="shared" ref="I25" si="32">E25*(F25+G25)</f>
        <v>1490.55726</v>
      </c>
      <c r="J25" s="69">
        <f t="shared" ref="J25" si="33">I25*G$2</f>
        <v>1341.501534</v>
      </c>
      <c r="K25" s="69">
        <f t="shared" ref="K25" si="34">I25-J25</f>
        <v>149.05572600000005</v>
      </c>
      <c r="M25">
        <v>1149.18</v>
      </c>
      <c r="O25" s="4">
        <f>SUM(E$6:E25)</f>
        <v>137272</v>
      </c>
      <c r="P25" s="76">
        <f>SUM(K$6:K25)</f>
        <v>2692.1689599999991</v>
      </c>
    </row>
    <row r="26" spans="1:18" x14ac:dyDescent="0.2">
      <c r="A26" s="1" t="s">
        <v>11</v>
      </c>
      <c r="B26" s="70">
        <v>44334</v>
      </c>
      <c r="C26" s="71">
        <v>44364</v>
      </c>
      <c r="D26" s="1">
        <v>26888</v>
      </c>
      <c r="E26" s="4">
        <f t="shared" si="25"/>
        <v>9142</v>
      </c>
      <c r="F26" s="3">
        <v>0.16413</v>
      </c>
      <c r="G26" s="3">
        <v>0.04</v>
      </c>
      <c r="I26" s="69">
        <f t="shared" ref="I26" si="35">E26*(F26+G26)</f>
        <v>1866.1564600000002</v>
      </c>
      <c r="J26" s="69">
        <f t="shared" ref="J26" si="36">I26*G$2</f>
        <v>1679.5408140000002</v>
      </c>
      <c r="K26" s="69">
        <f t="shared" ref="K26" si="37">I26-J26</f>
        <v>186.61564599999997</v>
      </c>
      <c r="M26">
        <v>1149.18</v>
      </c>
      <c r="O26" s="4">
        <f>SUM(E$6:E26)</f>
        <v>146414</v>
      </c>
      <c r="P26" s="76">
        <f>SUM(K$6:K26)</f>
        <v>2878.7846059999993</v>
      </c>
    </row>
    <row r="27" spans="1:18" x14ac:dyDescent="0.2">
      <c r="A27" s="1" t="s">
        <v>12</v>
      </c>
      <c r="B27" s="70">
        <v>44364</v>
      </c>
      <c r="C27" s="71">
        <v>44396</v>
      </c>
      <c r="D27" s="1">
        <v>24095</v>
      </c>
      <c r="E27" s="4">
        <f t="shared" si="25"/>
        <v>8192</v>
      </c>
      <c r="F27" s="3">
        <v>0.16413</v>
      </c>
      <c r="G27" s="3">
        <v>0.04</v>
      </c>
      <c r="I27" s="69">
        <f t="shared" ref="I27" si="38">E27*(F27+G27)</f>
        <v>1672.23296</v>
      </c>
      <c r="J27" s="69">
        <f t="shared" ref="J27" si="39">I27*G$2</f>
        <v>1505.0096640000002</v>
      </c>
      <c r="K27" s="69">
        <f t="shared" ref="K27" si="40">I27-J27</f>
        <v>167.22329599999989</v>
      </c>
      <c r="M27">
        <v>1149.18</v>
      </c>
      <c r="O27" s="4">
        <f>SUM(E$6:E27)</f>
        <v>154606</v>
      </c>
      <c r="P27" s="76">
        <f>SUM(K$6:K27)</f>
        <v>3046.0079019999994</v>
      </c>
    </row>
    <row r="28" spans="1:18" x14ac:dyDescent="0.2">
      <c r="A28" s="60" t="s">
        <v>13</v>
      </c>
      <c r="B28" s="74">
        <v>44396</v>
      </c>
      <c r="C28" s="75">
        <v>44426</v>
      </c>
      <c r="D28" s="60">
        <v>26713</v>
      </c>
      <c r="E28" s="64">
        <f t="shared" si="25"/>
        <v>9082</v>
      </c>
      <c r="F28" s="65">
        <v>0.16413</v>
      </c>
      <c r="G28" s="65">
        <v>0.04</v>
      </c>
      <c r="H28" s="66"/>
      <c r="I28" s="67">
        <f t="shared" ref="I28" si="41">E28*(F28+G28)</f>
        <v>1853.9086600000001</v>
      </c>
      <c r="J28" s="67">
        <f t="shared" ref="J28" si="42">I28*G$2</f>
        <v>1668.5177940000001</v>
      </c>
      <c r="K28" s="67">
        <f t="shared" ref="K28" si="43">I28-J28</f>
        <v>185.39086599999996</v>
      </c>
      <c r="L28" s="66"/>
      <c r="M28" s="66">
        <v>1149.18</v>
      </c>
      <c r="O28" s="4">
        <f>SUM(E$6:E28)</f>
        <v>163688</v>
      </c>
      <c r="P28" s="76">
        <f>SUM(K$6:K28)</f>
        <v>3231.3987679999991</v>
      </c>
    </row>
    <row r="29" spans="1:18" x14ac:dyDescent="0.2">
      <c r="A29" s="1" t="s">
        <v>14</v>
      </c>
      <c r="B29" s="70">
        <v>44426</v>
      </c>
      <c r="C29" s="71">
        <v>44456</v>
      </c>
      <c r="D29" s="1">
        <v>21825</v>
      </c>
      <c r="E29" s="4">
        <f t="shared" ref="E29" si="44">ROUND(D29*$E$2,0)</f>
        <v>7421</v>
      </c>
      <c r="F29" s="3">
        <v>0.16413</v>
      </c>
      <c r="G29" s="3">
        <v>0.04</v>
      </c>
      <c r="I29" s="69">
        <f t="shared" ref="I29" si="45">E29*(F29+G29)</f>
        <v>1514.8487299999999</v>
      </c>
      <c r="J29" s="69">
        <f t="shared" ref="J29" si="46">I29*G$2</f>
        <v>1363.3638570000001</v>
      </c>
      <c r="K29" s="69">
        <f t="shared" ref="K29" si="47">I29-J29</f>
        <v>151.48487299999988</v>
      </c>
      <c r="M29">
        <v>1149.18</v>
      </c>
      <c r="O29" s="4">
        <f>SUM(E$6:E29)</f>
        <v>171109</v>
      </c>
      <c r="P29" s="76">
        <f>SUM(K$6:K29)</f>
        <v>3382.883640999999</v>
      </c>
    </row>
    <row r="30" spans="1:18" x14ac:dyDescent="0.2">
      <c r="A30" s="1" t="s">
        <v>15</v>
      </c>
      <c r="B30" s="70">
        <v>44456</v>
      </c>
      <c r="C30" s="71">
        <v>44487</v>
      </c>
      <c r="D30" s="1">
        <v>17460</v>
      </c>
      <c r="E30" s="4">
        <f t="shared" ref="E30" si="48">ROUND(D30*$E$2,0)</f>
        <v>5936</v>
      </c>
      <c r="F30" s="3">
        <v>0.16413</v>
      </c>
      <c r="G30" s="3">
        <v>0.04</v>
      </c>
      <c r="I30" s="69">
        <f t="shared" ref="I30" si="49">E30*(F30+G30)</f>
        <v>1211.71568</v>
      </c>
      <c r="J30" s="69">
        <f t="shared" ref="J30" si="50">I30*G$2</f>
        <v>1090.544112</v>
      </c>
      <c r="K30" s="69">
        <f t="shared" ref="K30" si="51">I30-J30</f>
        <v>121.17156799999998</v>
      </c>
      <c r="M30">
        <v>1149.18</v>
      </c>
      <c r="O30" s="4">
        <f>SUM(E$6:E30)</f>
        <v>177045</v>
      </c>
      <c r="P30" s="76">
        <f>SUM(K$6:K30)</f>
        <v>3504.0552089999992</v>
      </c>
    </row>
    <row r="31" spans="1:18" x14ac:dyDescent="0.2">
      <c r="A31" s="1" t="s">
        <v>16</v>
      </c>
      <c r="B31" s="70">
        <v>44487</v>
      </c>
      <c r="C31" s="71">
        <v>44517</v>
      </c>
      <c r="D31" s="1">
        <v>17285</v>
      </c>
      <c r="E31" s="4">
        <f t="shared" ref="E31:E34" si="52">ROUND(D31*$E$2,0)</f>
        <v>5877</v>
      </c>
      <c r="F31" s="3">
        <v>0.16413</v>
      </c>
      <c r="G31" s="3">
        <v>0.04</v>
      </c>
      <c r="I31" s="69">
        <f t="shared" ref="I31" si="53">E31*(F31+G31)</f>
        <v>1199.67201</v>
      </c>
      <c r="J31" s="69">
        <f t="shared" ref="J31" si="54">I31*G$2</f>
        <v>1079.7048090000001</v>
      </c>
      <c r="K31" s="69">
        <f t="shared" ref="K31" si="55">I31-J31</f>
        <v>119.96720099999993</v>
      </c>
      <c r="L31" s="70"/>
      <c r="M31">
        <v>1149.18</v>
      </c>
      <c r="O31" s="4">
        <f>SUM(E$6:E31)</f>
        <v>182922</v>
      </c>
      <c r="P31" s="76">
        <f>SUM(K$6:K31)</f>
        <v>3624.0224099999991</v>
      </c>
      <c r="R31" s="70">
        <v>44532</v>
      </c>
    </row>
    <row r="32" spans="1:18" x14ac:dyDescent="0.2">
      <c r="A32" s="1" t="s">
        <v>17</v>
      </c>
      <c r="B32" s="70">
        <v>44517</v>
      </c>
      <c r="C32" s="71">
        <v>44546</v>
      </c>
      <c r="D32" s="1">
        <v>11872</v>
      </c>
      <c r="E32" s="4">
        <f t="shared" si="52"/>
        <v>4036</v>
      </c>
      <c r="F32" s="3">
        <v>0.16413</v>
      </c>
      <c r="G32" s="3">
        <v>0.04</v>
      </c>
      <c r="I32" s="69">
        <f t="shared" ref="I32" si="56">E32*(F32+G32)</f>
        <v>823.86868000000004</v>
      </c>
      <c r="J32" s="69">
        <f t="shared" ref="J32" si="57">I32*G$2</f>
        <v>741.4818120000001</v>
      </c>
      <c r="K32" s="69">
        <f t="shared" ref="K32" si="58">I32-J32</f>
        <v>82.386867999999936</v>
      </c>
      <c r="L32" s="70"/>
      <c r="M32">
        <v>1149.18</v>
      </c>
      <c r="O32" s="4">
        <f>SUM(E$6:E32)</f>
        <v>186958</v>
      </c>
      <c r="P32" s="76">
        <f>SUM(K$6:K32)</f>
        <v>3706.4092779999992</v>
      </c>
      <c r="Q32" t="s">
        <v>72</v>
      </c>
      <c r="R32" s="70">
        <v>44571</v>
      </c>
    </row>
    <row r="33" spans="1:18" x14ac:dyDescent="0.2">
      <c r="A33" s="1" t="s">
        <v>18</v>
      </c>
      <c r="B33" s="70">
        <v>44546</v>
      </c>
      <c r="C33" s="71">
        <v>44578</v>
      </c>
      <c r="D33" s="1">
        <v>7857</v>
      </c>
      <c r="E33" s="4">
        <f t="shared" si="52"/>
        <v>2671</v>
      </c>
      <c r="F33" s="3">
        <v>0.16413</v>
      </c>
      <c r="G33" s="3">
        <v>0.04</v>
      </c>
      <c r="I33" s="69">
        <f t="shared" ref="I33" si="59">E33*(F33+G33)</f>
        <v>545.23122999999998</v>
      </c>
      <c r="J33" s="69">
        <f t="shared" ref="J33" si="60">I33*G$2</f>
        <v>490.70810699999998</v>
      </c>
      <c r="K33" s="69">
        <f t="shared" ref="K33" si="61">I33-J33</f>
        <v>54.523122999999998</v>
      </c>
      <c r="L33" s="70"/>
      <c r="M33">
        <v>1149.18</v>
      </c>
      <c r="O33" s="4">
        <f>SUM(E$6:E33)</f>
        <v>189629</v>
      </c>
      <c r="P33" s="76">
        <f>SUM(K$6:K33)</f>
        <v>3760.9324009999991</v>
      </c>
      <c r="Q33" t="s">
        <v>71</v>
      </c>
      <c r="R33" s="70">
        <v>44600</v>
      </c>
    </row>
    <row r="34" spans="1:18" x14ac:dyDescent="0.2">
      <c r="A34" s="1" t="s">
        <v>19</v>
      </c>
      <c r="B34" s="70">
        <v>44578</v>
      </c>
      <c r="C34" s="71">
        <v>44608</v>
      </c>
      <c r="D34" s="1">
        <v>15714</v>
      </c>
      <c r="E34" s="4">
        <f t="shared" si="52"/>
        <v>5343</v>
      </c>
      <c r="F34" s="3">
        <v>0.16413</v>
      </c>
      <c r="G34" s="3">
        <v>0.04</v>
      </c>
      <c r="I34" s="69">
        <f t="shared" ref="I34" si="62">E34*(F34+G34)</f>
        <v>1090.66659</v>
      </c>
      <c r="J34" s="69">
        <f t="shared" ref="J34" si="63">I34*G$2</f>
        <v>981.59993100000008</v>
      </c>
      <c r="K34" s="69">
        <f t="shared" ref="K34" si="64">I34-J34</f>
        <v>109.06665899999996</v>
      </c>
      <c r="L34" s="70"/>
      <c r="M34">
        <v>1149.18</v>
      </c>
      <c r="O34" s="4">
        <f>SUM(E$6:E34)</f>
        <v>194972</v>
      </c>
      <c r="P34" s="76">
        <f>SUM(K$6:K34)</f>
        <v>3869.9990599999992</v>
      </c>
      <c r="Q34" t="s">
        <v>70</v>
      </c>
      <c r="R34" s="70">
        <v>44627</v>
      </c>
    </row>
    <row r="35" spans="1:18" x14ac:dyDescent="0.2">
      <c r="A35" s="1" t="s">
        <v>20</v>
      </c>
      <c r="B35" s="70">
        <v>44608</v>
      </c>
      <c r="C35" s="71">
        <v>44637</v>
      </c>
      <c r="D35" s="1">
        <v>15889</v>
      </c>
      <c r="E35" s="4">
        <f t="shared" ref="E35:E37" si="65">ROUND(D35*$E$2,0)</f>
        <v>5402</v>
      </c>
      <c r="F35" s="3">
        <v>0.16413</v>
      </c>
      <c r="G35" s="3">
        <v>0.04</v>
      </c>
      <c r="I35" s="69">
        <f t="shared" ref="I35" si="66">E35*(F35+G35)</f>
        <v>1102.7102600000001</v>
      </c>
      <c r="J35" s="69">
        <f t="shared" ref="J35" si="67">I35*G$2</f>
        <v>992.43923400000006</v>
      </c>
      <c r="K35" s="69">
        <f t="shared" ref="K35" si="68">I35-J35</f>
        <v>110.27102600000001</v>
      </c>
      <c r="L35" s="70"/>
      <c r="M35">
        <v>1149.18</v>
      </c>
      <c r="O35" s="4">
        <f>SUM(E$6:E35)</f>
        <v>200374</v>
      </c>
      <c r="P35" s="76">
        <f>SUM(K$6:K35)</f>
        <v>3980.2700859999991</v>
      </c>
      <c r="Q35" t="s">
        <v>69</v>
      </c>
      <c r="R35" s="70">
        <v>44652</v>
      </c>
    </row>
    <row r="36" spans="1:18" x14ac:dyDescent="0.2">
      <c r="A36" s="1" t="s">
        <v>5</v>
      </c>
      <c r="B36" s="70">
        <v>44637</v>
      </c>
      <c r="C36" s="71">
        <v>44670</v>
      </c>
      <c r="D36" s="1">
        <v>22523</v>
      </c>
      <c r="E36" s="4">
        <f t="shared" si="65"/>
        <v>7658</v>
      </c>
      <c r="F36" s="3">
        <v>0.16413</v>
      </c>
      <c r="G36" s="3">
        <v>0.04</v>
      </c>
      <c r="I36" s="69">
        <f t="shared" ref="I36" si="69">E36*(F36+G36)</f>
        <v>1563.2275400000001</v>
      </c>
      <c r="J36" s="69">
        <f t="shared" ref="J36" si="70">I36*G$2</f>
        <v>1406.9047860000001</v>
      </c>
      <c r="K36" s="69">
        <f t="shared" ref="K36" si="71">I36-J36</f>
        <v>156.32275400000003</v>
      </c>
      <c r="L36" s="70"/>
      <c r="M36">
        <v>1149.18</v>
      </c>
      <c r="O36" s="4">
        <f>SUM(E$6:E36)</f>
        <v>208032</v>
      </c>
      <c r="P36" s="76">
        <f>SUM(K$6:K36)</f>
        <v>4136.5928399999993</v>
      </c>
      <c r="Q36" t="s">
        <v>68</v>
      </c>
      <c r="R36" s="70">
        <v>44697</v>
      </c>
    </row>
    <row r="37" spans="1:18" x14ac:dyDescent="0.2">
      <c r="A37" s="1" t="s">
        <v>4</v>
      </c>
      <c r="B37" s="77">
        <v>44670</v>
      </c>
      <c r="C37" s="71">
        <v>44699</v>
      </c>
      <c r="D37" s="1">
        <v>25492</v>
      </c>
      <c r="E37" s="4">
        <f t="shared" si="65"/>
        <v>8667</v>
      </c>
      <c r="F37" s="3">
        <v>0.16413</v>
      </c>
      <c r="G37" s="3">
        <v>0.04</v>
      </c>
      <c r="I37" s="69">
        <f t="shared" ref="I37" si="72">E37*(F37+G37)</f>
        <v>1769.19471</v>
      </c>
      <c r="J37" s="69">
        <f t="shared" ref="J37" si="73">I37*G$2</f>
        <v>1592.2752390000001</v>
      </c>
      <c r="K37" s="69">
        <f t="shared" ref="K37" si="74">I37-J37</f>
        <v>176.91947099999993</v>
      </c>
      <c r="L37" s="70"/>
      <c r="M37">
        <v>1149.18</v>
      </c>
      <c r="O37" s="4">
        <f>SUM(E$6:E37)</f>
        <v>216699</v>
      </c>
      <c r="P37" s="76">
        <f>SUM(K$6:K37)</f>
        <v>4313.5123109999995</v>
      </c>
      <c r="Q37" t="s">
        <v>67</v>
      </c>
      <c r="R37" s="70">
        <v>44725</v>
      </c>
    </row>
    <row r="38" spans="1:18" x14ac:dyDescent="0.2">
      <c r="A38" s="1" t="s">
        <v>11</v>
      </c>
      <c r="B38" s="70">
        <v>44699</v>
      </c>
      <c r="C38" s="71">
        <v>44729</v>
      </c>
      <c r="D38" s="1">
        <v>27586</v>
      </c>
      <c r="E38" s="4">
        <f t="shared" ref="E38:E39" si="75">ROUND(D38*$E$2,0)</f>
        <v>9379</v>
      </c>
      <c r="F38" s="3">
        <v>0.16413</v>
      </c>
      <c r="G38" s="3">
        <v>0.04</v>
      </c>
      <c r="I38" s="69">
        <f t="shared" ref="I38:I39" si="76">E38*(F38+G38)</f>
        <v>1914.5352700000001</v>
      </c>
      <c r="J38" s="69">
        <f t="shared" ref="J38:J39" si="77">I38*G$2</f>
        <v>1723.0817430000002</v>
      </c>
      <c r="K38" s="69">
        <f t="shared" ref="K38:K39" si="78">I38-J38</f>
        <v>191.45352699999989</v>
      </c>
      <c r="L38" s="70"/>
      <c r="M38">
        <v>1149.18</v>
      </c>
      <c r="O38" s="4">
        <f>SUM(E$6:E38)</f>
        <v>226078</v>
      </c>
      <c r="P38" s="76">
        <f>SUM(K$6:K38)</f>
        <v>4504.9658379999992</v>
      </c>
      <c r="Q38" t="s">
        <v>66</v>
      </c>
      <c r="R38" s="70">
        <v>44757</v>
      </c>
    </row>
    <row r="39" spans="1:18" x14ac:dyDescent="0.2">
      <c r="A39" s="1" t="s">
        <v>12</v>
      </c>
      <c r="B39" s="70">
        <v>44729</v>
      </c>
      <c r="C39" s="71">
        <v>44761</v>
      </c>
      <c r="D39" s="1">
        <v>30206</v>
      </c>
      <c r="E39" s="4">
        <f t="shared" si="75"/>
        <v>10270</v>
      </c>
      <c r="F39" s="3">
        <v>0.16413</v>
      </c>
      <c r="G39" s="3">
        <v>0.04</v>
      </c>
      <c r="I39" s="69">
        <f t="shared" si="76"/>
        <v>2096.4151000000002</v>
      </c>
      <c r="J39" s="69">
        <f t="shared" si="77"/>
        <v>1886.7735900000002</v>
      </c>
      <c r="K39" s="69">
        <f t="shared" si="78"/>
        <v>209.64150999999993</v>
      </c>
      <c r="L39" s="70"/>
      <c r="M39">
        <v>1149.18</v>
      </c>
      <c r="O39" s="4">
        <f>SUM(E$6:E39)</f>
        <v>236348</v>
      </c>
      <c r="P39" s="76">
        <f>SUM(K$6:K39)</f>
        <v>4714.6073479999995</v>
      </c>
      <c r="Q39" t="s">
        <v>65</v>
      </c>
      <c r="R39" s="70">
        <v>44781</v>
      </c>
    </row>
    <row r="40" spans="1:18" x14ac:dyDescent="0.2">
      <c r="A40" s="60" t="s">
        <v>13</v>
      </c>
      <c r="B40" s="74">
        <v>44761</v>
      </c>
      <c r="C40" s="75">
        <v>44791</v>
      </c>
      <c r="D40" s="60">
        <v>27761</v>
      </c>
      <c r="E40" s="64">
        <f t="shared" ref="E40" si="79">ROUND(D40*$E$2,0)</f>
        <v>9439</v>
      </c>
      <c r="F40" s="65">
        <v>0.16413</v>
      </c>
      <c r="G40" s="65">
        <v>0.04</v>
      </c>
      <c r="H40" s="66"/>
      <c r="I40" s="67">
        <f t="shared" ref="I40" si="80">E40*(F40+G40)</f>
        <v>1926.78307</v>
      </c>
      <c r="J40" s="67">
        <f t="shared" ref="J40" si="81">I40*G$2</f>
        <v>1734.104763</v>
      </c>
      <c r="K40" s="67">
        <f t="shared" ref="K40" si="82">I40-J40</f>
        <v>192.6783069999999</v>
      </c>
      <c r="L40" s="74"/>
      <c r="M40" s="66">
        <v>1149.18</v>
      </c>
      <c r="N40" s="66"/>
      <c r="O40" s="64">
        <f>SUM(E$6:E40)</f>
        <v>245787</v>
      </c>
      <c r="P40" s="78">
        <f>SUM(K$6:K40)</f>
        <v>4907.2856549999997</v>
      </c>
      <c r="Q40" t="s">
        <v>64</v>
      </c>
      <c r="R40" s="70">
        <v>44811</v>
      </c>
    </row>
    <row r="41" spans="1:18" x14ac:dyDescent="0.2">
      <c r="A41" s="1" t="s">
        <v>14</v>
      </c>
      <c r="B41" s="70">
        <v>44791</v>
      </c>
      <c r="C41" s="71">
        <v>44823</v>
      </c>
      <c r="D41" s="1">
        <v>25666</v>
      </c>
      <c r="E41" s="4">
        <f t="shared" ref="E41" si="83">ROUND(D41*$E$2,0)</f>
        <v>8726</v>
      </c>
      <c r="F41" s="3">
        <v>0.16413</v>
      </c>
      <c r="G41" s="3">
        <v>0.04</v>
      </c>
      <c r="I41" s="69">
        <f t="shared" ref="I41:I42" si="84">E41*(F41+G41)</f>
        <v>1781.23838</v>
      </c>
      <c r="J41" s="69">
        <f t="shared" ref="J41:J42" si="85">I41*G$2</f>
        <v>1603.114542</v>
      </c>
      <c r="K41" s="69">
        <f t="shared" ref="K41:K42" si="86">I41-J41</f>
        <v>178.12383799999998</v>
      </c>
      <c r="L41" s="70"/>
      <c r="M41">
        <v>1149.18</v>
      </c>
      <c r="O41" s="4">
        <f>SUM(E$6:E41)</f>
        <v>254513</v>
      </c>
      <c r="P41" s="76">
        <f>SUM(K$6:K41)</f>
        <v>5085.4094929999992</v>
      </c>
      <c r="Q41" t="s">
        <v>63</v>
      </c>
      <c r="R41" s="70">
        <v>44837</v>
      </c>
    </row>
    <row r="42" spans="1:18" x14ac:dyDescent="0.2">
      <c r="A42" s="1" t="s">
        <v>15</v>
      </c>
      <c r="B42" s="70">
        <v>44823</v>
      </c>
      <c r="C42" s="71">
        <v>44852</v>
      </c>
      <c r="D42" s="1">
        <v>18333</v>
      </c>
      <c r="E42" s="4">
        <f t="shared" ref="E42:E47" si="87">ROUND(D42*$E$2,0)</f>
        <v>6233</v>
      </c>
      <c r="F42" s="3">
        <v>0.17141000000000001</v>
      </c>
      <c r="G42" s="3">
        <v>0.04</v>
      </c>
      <c r="H42">
        <f t="shared" ref="H42:H47" si="88">(F42+G42)</f>
        <v>0.21141000000000001</v>
      </c>
      <c r="I42" s="72">
        <f t="shared" si="84"/>
        <v>1317.7185300000001</v>
      </c>
      <c r="J42" s="72">
        <f t="shared" si="85"/>
        <v>1185.9466770000001</v>
      </c>
      <c r="K42" s="72">
        <f t="shared" si="86"/>
        <v>131.77185299999996</v>
      </c>
      <c r="M42" s="79">
        <v>1250</v>
      </c>
      <c r="O42" s="4">
        <f>SUM(E$6:E42)</f>
        <v>260746</v>
      </c>
      <c r="P42" s="76">
        <f>SUM(K$6:K42)</f>
        <v>5217.1813459999994</v>
      </c>
      <c r="Q42" t="s">
        <v>74</v>
      </c>
      <c r="R42" s="70">
        <v>44887</v>
      </c>
    </row>
    <row r="43" spans="1:18" x14ac:dyDescent="0.2">
      <c r="A43" s="1" t="s">
        <v>16</v>
      </c>
      <c r="B43" s="70">
        <v>44852</v>
      </c>
      <c r="C43" s="71">
        <v>44881</v>
      </c>
      <c r="D43" s="1">
        <v>19904</v>
      </c>
      <c r="E43" s="4">
        <f t="shared" si="87"/>
        <v>6767</v>
      </c>
      <c r="F43" s="3">
        <v>0.17141000000000001</v>
      </c>
      <c r="G43" s="3">
        <v>0.04</v>
      </c>
      <c r="H43">
        <f t="shared" si="88"/>
        <v>0.21141000000000001</v>
      </c>
      <c r="I43" s="72">
        <f t="shared" ref="I43" si="89">E43*(F43+G43)</f>
        <v>1430.6114700000001</v>
      </c>
      <c r="J43" s="72">
        <f t="shared" ref="J43" si="90">I43*G$2</f>
        <v>1287.5503230000002</v>
      </c>
      <c r="K43" s="72">
        <f t="shared" ref="K43" si="91">I43-J43</f>
        <v>143.06114699999989</v>
      </c>
      <c r="M43" s="79">
        <v>1250</v>
      </c>
      <c r="O43" s="4">
        <f>SUM(E$6:E43)</f>
        <v>267513</v>
      </c>
      <c r="P43" s="76">
        <f>SUM(K$6:K43)</f>
        <v>5360.2424929999997</v>
      </c>
      <c r="Q43" t="s">
        <v>78</v>
      </c>
      <c r="R43" s="70">
        <v>44922</v>
      </c>
    </row>
    <row r="44" spans="1:18" x14ac:dyDescent="0.2">
      <c r="A44" s="1" t="s">
        <v>17</v>
      </c>
      <c r="B44" s="70">
        <v>44881</v>
      </c>
      <c r="C44" s="71">
        <v>44910</v>
      </c>
      <c r="D44" s="1">
        <v>12397</v>
      </c>
      <c r="E44" s="4">
        <f t="shared" si="87"/>
        <v>4215</v>
      </c>
      <c r="F44" s="3">
        <v>0.17141000000000001</v>
      </c>
      <c r="G44" s="3">
        <v>0.04</v>
      </c>
      <c r="H44">
        <f t="shared" si="88"/>
        <v>0.21141000000000001</v>
      </c>
      <c r="I44" s="72">
        <f t="shared" ref="I44" si="92">E44*(F44+G44)</f>
        <v>891.09315000000004</v>
      </c>
      <c r="J44" s="72">
        <f t="shared" ref="J44" si="93">I44*G$2</f>
        <v>801.983835</v>
      </c>
      <c r="K44" s="72">
        <f t="shared" ref="K44" si="94">I44-J44</f>
        <v>89.109315000000038</v>
      </c>
      <c r="M44" s="79">
        <v>1250</v>
      </c>
      <c r="O44" s="4">
        <f>SUM(E$6:E44)</f>
        <v>271728</v>
      </c>
      <c r="P44" s="76">
        <f>SUM(K$6:K44)</f>
        <v>5449.3518079999994</v>
      </c>
      <c r="Q44" t="s">
        <v>79</v>
      </c>
      <c r="R44" s="70">
        <v>44964</v>
      </c>
    </row>
    <row r="45" spans="1:18" x14ac:dyDescent="0.2">
      <c r="A45" s="1" t="s">
        <v>18</v>
      </c>
      <c r="B45" s="70">
        <v>44910</v>
      </c>
      <c r="C45" s="71">
        <v>44942</v>
      </c>
      <c r="D45" s="1">
        <v>9777</v>
      </c>
      <c r="E45" s="4">
        <f t="shared" si="87"/>
        <v>3324</v>
      </c>
      <c r="F45" s="3">
        <v>0.17141000000000001</v>
      </c>
      <c r="G45" s="3">
        <v>0.04</v>
      </c>
      <c r="H45">
        <f t="shared" si="88"/>
        <v>0.21141000000000001</v>
      </c>
      <c r="I45" s="72">
        <f t="shared" ref="I45" si="95">E45*(F45+G45)</f>
        <v>702.72684000000004</v>
      </c>
      <c r="J45" s="72">
        <f t="shared" ref="J45" si="96">I45*G$2</f>
        <v>632.45415600000001</v>
      </c>
      <c r="K45" s="72">
        <f t="shared" ref="K45" si="97">I45-J45</f>
        <v>70.272684000000027</v>
      </c>
      <c r="M45" s="79">
        <v>1250</v>
      </c>
      <c r="O45" s="4">
        <f>SUM(E$6:E45)</f>
        <v>275052</v>
      </c>
      <c r="P45" s="76">
        <f>SUM(K$6:K45)</f>
        <v>5519.624491999999</v>
      </c>
      <c r="Q45" t="s">
        <v>80</v>
      </c>
      <c r="R45" s="70">
        <v>44964</v>
      </c>
    </row>
    <row r="46" spans="1:18" x14ac:dyDescent="0.2">
      <c r="A46" s="1" t="s">
        <v>82</v>
      </c>
      <c r="B46" s="70">
        <v>44942</v>
      </c>
      <c r="C46" s="71">
        <v>44973</v>
      </c>
      <c r="D46" s="1">
        <v>13270</v>
      </c>
      <c r="E46" s="4">
        <f t="shared" si="87"/>
        <v>4512</v>
      </c>
      <c r="F46" s="3">
        <v>0.17141000000000001</v>
      </c>
      <c r="G46" s="3">
        <v>0.04</v>
      </c>
      <c r="H46">
        <f t="shared" si="88"/>
        <v>0.21141000000000001</v>
      </c>
      <c r="I46" s="72">
        <f t="shared" ref="I46" si="98">E46*(F46+G46)</f>
        <v>953.88192000000004</v>
      </c>
      <c r="J46" s="72">
        <f t="shared" ref="J46" si="99">I46*G$2</f>
        <v>858.49372800000003</v>
      </c>
      <c r="K46" s="72">
        <f t="shared" ref="K46" si="100">I46-J46</f>
        <v>95.388192000000004</v>
      </c>
      <c r="M46" s="79">
        <v>1250</v>
      </c>
      <c r="O46" s="4">
        <f>SUM(E$6:E46)</f>
        <v>279564</v>
      </c>
      <c r="P46" s="76">
        <f>SUM(K$6:K46)</f>
        <v>5615.0126839999994</v>
      </c>
      <c r="Q46" t="s">
        <v>81</v>
      </c>
      <c r="R46" s="70">
        <v>44989</v>
      </c>
    </row>
    <row r="47" spans="1:18" x14ac:dyDescent="0.2">
      <c r="A47" s="1" t="s">
        <v>20</v>
      </c>
      <c r="B47" s="70">
        <v>44973</v>
      </c>
      <c r="C47" s="71">
        <v>45002</v>
      </c>
      <c r="D47" s="1">
        <v>12571</v>
      </c>
      <c r="E47" s="4">
        <f t="shared" si="87"/>
        <v>4274</v>
      </c>
      <c r="F47" s="3">
        <v>0.17141000000000001</v>
      </c>
      <c r="G47" s="3">
        <v>0.04</v>
      </c>
      <c r="H47">
        <f t="shared" si="88"/>
        <v>0.21141000000000001</v>
      </c>
      <c r="I47" s="72">
        <f t="shared" ref="I47" si="101">E47*(F47+G47)</f>
        <v>903.56634000000008</v>
      </c>
      <c r="J47" s="72">
        <f t="shared" ref="J47" si="102">I47*G$2</f>
        <v>813.2097060000001</v>
      </c>
      <c r="K47" s="72">
        <f t="shared" ref="K47" si="103">I47-J47</f>
        <v>90.356633999999985</v>
      </c>
      <c r="M47" s="79">
        <v>1250</v>
      </c>
      <c r="O47" s="4">
        <f>SUM(E$6:E47)</f>
        <v>283838</v>
      </c>
      <c r="P47" s="76">
        <f>SUM(K$6:K47)</f>
        <v>5705.3693179999991</v>
      </c>
      <c r="Q47" t="s">
        <v>83</v>
      </c>
      <c r="R47" s="70">
        <v>45019</v>
      </c>
    </row>
    <row r="48" spans="1:18" x14ac:dyDescent="0.2">
      <c r="A48" s="1" t="s">
        <v>5</v>
      </c>
      <c r="B48" s="70">
        <v>45002</v>
      </c>
      <c r="C48" s="71">
        <v>45034</v>
      </c>
      <c r="D48" s="1">
        <v>25492</v>
      </c>
      <c r="E48" s="4">
        <f t="shared" ref="E48" si="104">ROUND(D48*$E$2,0)</f>
        <v>8667</v>
      </c>
      <c r="F48" s="3">
        <v>0.17141000000000001</v>
      </c>
      <c r="G48" s="3">
        <v>0.04</v>
      </c>
      <c r="H48">
        <f t="shared" ref="H48" si="105">(F48+G48)</f>
        <v>0.21141000000000001</v>
      </c>
      <c r="I48" s="72">
        <f t="shared" ref="I48" si="106">E48*(F48+G48)</f>
        <v>1832.2904700000001</v>
      </c>
      <c r="J48" s="72">
        <f t="shared" ref="J48" si="107">I48*G$2</f>
        <v>1649.0614230000001</v>
      </c>
      <c r="K48" s="72">
        <f t="shared" ref="K48" si="108">I48-J48</f>
        <v>183.22904700000004</v>
      </c>
      <c r="M48" s="79">
        <v>1250</v>
      </c>
      <c r="O48" s="4">
        <f>SUM(E$6:E48)</f>
        <v>292505</v>
      </c>
      <c r="P48" s="76">
        <f>SUM(K$6:K48)</f>
        <v>5888.5983649999989</v>
      </c>
      <c r="Q48" t="s">
        <v>84</v>
      </c>
      <c r="R48" s="70">
        <v>45048</v>
      </c>
    </row>
    <row r="49" spans="1:20" x14ac:dyDescent="0.2">
      <c r="A49" s="1" t="s">
        <v>4</v>
      </c>
      <c r="B49" s="70">
        <v>45034</v>
      </c>
      <c r="C49" s="71">
        <v>45064</v>
      </c>
      <c r="D49" s="1">
        <v>24967</v>
      </c>
      <c r="E49" s="4">
        <f t="shared" ref="E49" si="109">ROUND(D49*$E$2,0)</f>
        <v>8489</v>
      </c>
      <c r="F49" s="3">
        <v>0.17141000000000001</v>
      </c>
      <c r="G49" s="3">
        <v>0.04</v>
      </c>
      <c r="H49">
        <f t="shared" ref="H49" si="110">(F49+G49)</f>
        <v>0.21141000000000001</v>
      </c>
      <c r="I49" s="72">
        <f t="shared" ref="I49" si="111">E49*(F49+G49)</f>
        <v>1794.6594900000002</v>
      </c>
      <c r="J49" s="72">
        <f t="shared" ref="J49" si="112">I49*G$2</f>
        <v>1615.1935410000003</v>
      </c>
      <c r="K49" s="72">
        <f t="shared" ref="K49" si="113">I49-J49</f>
        <v>179.46594899999991</v>
      </c>
      <c r="M49" s="79">
        <v>1250</v>
      </c>
      <c r="O49" s="4">
        <f>SUM(E$6:E49)</f>
        <v>300994</v>
      </c>
      <c r="P49" s="76">
        <f>SUM(K$6:K49)</f>
        <v>6068.0643139999993</v>
      </c>
      <c r="Q49" t="s">
        <v>85</v>
      </c>
      <c r="R49" s="70">
        <v>45086</v>
      </c>
    </row>
    <row r="50" spans="1:20" x14ac:dyDescent="0.2">
      <c r="A50" s="1" t="s">
        <v>11</v>
      </c>
      <c r="B50" s="70">
        <v>45064</v>
      </c>
      <c r="C50" s="71">
        <v>45095</v>
      </c>
      <c r="D50" s="1">
        <v>27587</v>
      </c>
      <c r="E50" s="4">
        <f t="shared" ref="E50" si="114">ROUND(D50*$E$2,0)</f>
        <v>9380</v>
      </c>
      <c r="F50" s="3">
        <v>0.17141000000000001</v>
      </c>
      <c r="G50" s="3">
        <v>0.04</v>
      </c>
      <c r="H50">
        <f t="shared" ref="H50" si="115">(F50+G50)</f>
        <v>0.21141000000000001</v>
      </c>
      <c r="I50" s="72">
        <f t="shared" ref="I50" si="116">E50*(F50+G50)</f>
        <v>1983.0258000000001</v>
      </c>
      <c r="J50" s="72">
        <f t="shared" ref="J50" si="117">I50*G$2</f>
        <v>1784.7232200000001</v>
      </c>
      <c r="K50" s="72">
        <f t="shared" ref="K50" si="118">I50-J50</f>
        <v>198.30258000000003</v>
      </c>
      <c r="M50" s="79">
        <v>1250</v>
      </c>
      <c r="O50" s="4">
        <f>SUM(E$6:E50)</f>
        <v>310374</v>
      </c>
      <c r="P50" s="76">
        <f>SUM(K$6:K50)</f>
        <v>6266.3668939999989</v>
      </c>
      <c r="Q50" t="s">
        <v>86</v>
      </c>
      <c r="R50" s="70">
        <v>45118</v>
      </c>
    </row>
    <row r="51" spans="1:20" x14ac:dyDescent="0.2">
      <c r="A51" s="1" t="s">
        <v>12</v>
      </c>
      <c r="B51" s="70">
        <v>45095</v>
      </c>
      <c r="C51" s="71">
        <v>45125</v>
      </c>
      <c r="D51" s="1">
        <v>23047</v>
      </c>
      <c r="E51" s="4">
        <f t="shared" ref="E51" si="119">ROUND(D51*$E$2,0)</f>
        <v>7836</v>
      </c>
      <c r="F51" s="3">
        <v>0.17141000000000001</v>
      </c>
      <c r="G51" s="3">
        <v>0.04</v>
      </c>
      <c r="H51">
        <f t="shared" ref="H51" si="120">(F51+G51)</f>
        <v>0.21141000000000001</v>
      </c>
      <c r="I51" s="72">
        <f t="shared" ref="I51" si="121">E51*(F51+G51)</f>
        <v>1656.6087600000001</v>
      </c>
      <c r="J51" s="72">
        <f t="shared" ref="J51" si="122">I51*G$2</f>
        <v>1490.9478840000002</v>
      </c>
      <c r="K51" s="72">
        <f t="shared" ref="K51" si="123">I51-J51</f>
        <v>165.66087599999992</v>
      </c>
      <c r="M51" s="79">
        <v>1250</v>
      </c>
      <c r="O51" s="4">
        <f>SUM(E$6:E51)</f>
        <v>318210</v>
      </c>
      <c r="P51" s="76">
        <f>SUM(K$6:K51)</f>
        <v>6432.0277699999988</v>
      </c>
      <c r="Q51" t="s">
        <v>87</v>
      </c>
      <c r="R51" s="70">
        <v>45142</v>
      </c>
    </row>
    <row r="52" spans="1:20" x14ac:dyDescent="0.2">
      <c r="A52" s="60" t="s">
        <v>13</v>
      </c>
      <c r="B52" s="74">
        <v>45125</v>
      </c>
      <c r="C52" s="75">
        <v>45155</v>
      </c>
      <c r="D52" s="60">
        <v>23745</v>
      </c>
      <c r="E52" s="64">
        <f t="shared" ref="E52" si="124">ROUND(D52*$E$2,0)</f>
        <v>8073</v>
      </c>
      <c r="F52" s="65">
        <v>0.17141000000000001</v>
      </c>
      <c r="G52" s="65">
        <v>0.04</v>
      </c>
      <c r="H52" s="66">
        <f t="shared" ref="H52" si="125">(F52+G52)</f>
        <v>0.21141000000000001</v>
      </c>
      <c r="I52" s="103">
        <f t="shared" ref="I52" si="126">E52*(F52+G52)</f>
        <v>1706.7129300000001</v>
      </c>
      <c r="J52" s="103">
        <f t="shared" ref="J52" si="127">I52*G$2</f>
        <v>1536.0416370000003</v>
      </c>
      <c r="K52" s="103">
        <f t="shared" ref="K52" si="128">I52-J52</f>
        <v>170.67129299999988</v>
      </c>
      <c r="L52" s="66"/>
      <c r="M52" s="104">
        <v>1250</v>
      </c>
      <c r="N52" s="66"/>
      <c r="O52" s="64">
        <f>SUM(E$6:E52)</f>
        <v>326283</v>
      </c>
      <c r="P52" s="78">
        <f>SUM(K$6:K52)</f>
        <v>6602.6990629999982</v>
      </c>
      <c r="Q52" s="66" t="s">
        <v>100</v>
      </c>
      <c r="R52" s="74">
        <v>45185</v>
      </c>
    </row>
    <row r="53" spans="1:20" x14ac:dyDescent="0.2">
      <c r="A53" s="1" t="s">
        <v>14</v>
      </c>
      <c r="B53" s="70">
        <v>45155</v>
      </c>
      <c r="C53" s="71">
        <v>45187</v>
      </c>
      <c r="D53" s="1">
        <v>24968</v>
      </c>
      <c r="E53" s="4">
        <f t="shared" ref="E53" si="129">ROUND(D53*$E$2,0)</f>
        <v>8489</v>
      </c>
      <c r="F53" s="3">
        <v>0.17141000000000001</v>
      </c>
      <c r="G53" s="3">
        <v>0.04</v>
      </c>
      <c r="H53">
        <f t="shared" ref="H53" si="130">(F53+G53)</f>
        <v>0.21141000000000001</v>
      </c>
      <c r="I53" s="72">
        <f t="shared" ref="I53" si="131">E53*(F53+G53)</f>
        <v>1794.6594900000002</v>
      </c>
      <c r="J53" s="72">
        <f t="shared" ref="J53" si="132">I53*G$2</f>
        <v>1615.1935410000003</v>
      </c>
      <c r="K53" s="72">
        <f t="shared" ref="K53" si="133">I53-J53</f>
        <v>179.46594899999991</v>
      </c>
      <c r="M53" s="79">
        <v>1250</v>
      </c>
      <c r="O53" s="4">
        <f>SUM(E$6:E53)</f>
        <v>334772</v>
      </c>
      <c r="P53" s="76">
        <f>SUM(K$6:K53)</f>
        <v>6782.1650119999977</v>
      </c>
      <c r="Q53" t="s">
        <v>102</v>
      </c>
      <c r="R53" s="70">
        <v>45222</v>
      </c>
    </row>
    <row r="54" spans="1:20" x14ac:dyDescent="0.2">
      <c r="A54" s="1" t="s">
        <v>15</v>
      </c>
      <c r="B54" s="70">
        <v>45187</v>
      </c>
      <c r="C54" s="71">
        <v>45217</v>
      </c>
      <c r="D54" s="1">
        <v>17883</v>
      </c>
      <c r="E54" s="4">
        <f t="shared" ref="E54:E62" si="134">ROUND(D54*$E$2,0)</f>
        <v>6080</v>
      </c>
      <c r="F54" s="3">
        <v>0.17141000000000001</v>
      </c>
      <c r="G54" s="3">
        <v>0.04</v>
      </c>
      <c r="H54">
        <f t="shared" ref="H54" si="135">(F54+G54)</f>
        <v>0.21141000000000001</v>
      </c>
      <c r="I54" s="72">
        <f t="shared" ref="I54" si="136">E54*(F54+G54)</f>
        <v>1285.3728000000001</v>
      </c>
      <c r="J54" s="72">
        <f t="shared" ref="J54" si="137">I54*G$2</f>
        <v>1156.8355200000001</v>
      </c>
      <c r="K54" s="72">
        <f t="shared" ref="K54" si="138">I54-J54</f>
        <v>128.53728000000001</v>
      </c>
      <c r="M54" s="79">
        <v>1250</v>
      </c>
      <c r="O54" s="4">
        <f>SUM(E$6:E54)</f>
        <v>340852</v>
      </c>
      <c r="P54" s="76">
        <f>SUM(K$6:K54)</f>
        <v>6910.7022919999981</v>
      </c>
      <c r="Q54" t="s">
        <v>103</v>
      </c>
      <c r="R54" s="70">
        <v>45241</v>
      </c>
    </row>
    <row r="55" spans="1:20" x14ac:dyDescent="0.2">
      <c r="A55" s="1" t="s">
        <v>16</v>
      </c>
      <c r="B55" s="70">
        <v>45217</v>
      </c>
      <c r="C55" s="71">
        <v>45247</v>
      </c>
      <c r="D55" s="1">
        <v>13270</v>
      </c>
      <c r="E55" s="4">
        <f t="shared" si="134"/>
        <v>4512</v>
      </c>
      <c r="F55" s="3">
        <v>0.17141000000000001</v>
      </c>
      <c r="G55" s="3">
        <v>0.04</v>
      </c>
      <c r="H55">
        <f t="shared" ref="H55" si="139">(F55+G55)</f>
        <v>0.21141000000000001</v>
      </c>
      <c r="I55" s="72">
        <f t="shared" ref="I55" si="140">E55*(F55+G55)</f>
        <v>953.88192000000004</v>
      </c>
      <c r="J55" s="72">
        <f t="shared" ref="J55" si="141">I55*G$2</f>
        <v>858.49372800000003</v>
      </c>
      <c r="K55" s="72">
        <f t="shared" ref="K55" si="142">I55-J55</f>
        <v>95.388192000000004</v>
      </c>
      <c r="M55" s="79">
        <v>1250</v>
      </c>
      <c r="O55" s="4">
        <f>SUM(E$6:E55)</f>
        <v>345364</v>
      </c>
      <c r="P55" s="76">
        <f>SUM(K$6:K55)</f>
        <v>7006.0904839999985</v>
      </c>
      <c r="Q55" t="s">
        <v>104</v>
      </c>
      <c r="R55" s="16">
        <v>45268</v>
      </c>
      <c r="S55" s="70">
        <v>45334</v>
      </c>
      <c r="T55" t="s">
        <v>107</v>
      </c>
    </row>
    <row r="56" spans="1:20" x14ac:dyDescent="0.2">
      <c r="A56" s="1" t="s">
        <v>17</v>
      </c>
      <c r="B56" s="70">
        <v>45247</v>
      </c>
      <c r="C56" s="71">
        <v>45277</v>
      </c>
      <c r="D56" s="1">
        <v>13078</v>
      </c>
      <c r="E56" s="4">
        <f t="shared" si="134"/>
        <v>4447</v>
      </c>
      <c r="F56" s="3">
        <v>0.17141000000000001</v>
      </c>
      <c r="G56" s="3">
        <v>0.04</v>
      </c>
      <c r="H56">
        <f t="shared" ref="H56" si="143">(F56+G56)</f>
        <v>0.21141000000000001</v>
      </c>
      <c r="I56" s="72">
        <f t="shared" ref="I56" si="144">E56*(F56+G56)</f>
        <v>940.1402700000001</v>
      </c>
      <c r="J56" s="72">
        <f t="shared" ref="J56" si="145">I56*G$2</f>
        <v>846.12624300000016</v>
      </c>
      <c r="K56" s="72">
        <f t="shared" ref="K56" si="146">I56-J56</f>
        <v>94.014026999999942</v>
      </c>
      <c r="M56" s="79">
        <v>1250</v>
      </c>
      <c r="O56" s="4">
        <f>SUM(E$6:E56)</f>
        <v>349811</v>
      </c>
      <c r="P56" s="76">
        <f>SUM(K$6:K56)</f>
        <v>7100.1045109999986</v>
      </c>
      <c r="Q56" t="s">
        <v>105</v>
      </c>
      <c r="R56" s="70">
        <v>45296</v>
      </c>
    </row>
    <row r="57" spans="1:20" x14ac:dyDescent="0.2">
      <c r="A57" s="1" t="s">
        <v>18</v>
      </c>
      <c r="B57" s="70">
        <v>45277</v>
      </c>
      <c r="C57" s="71">
        <v>45308</v>
      </c>
      <c r="D57" s="1">
        <v>8730</v>
      </c>
      <c r="E57" s="4">
        <f t="shared" si="134"/>
        <v>2968</v>
      </c>
      <c r="F57" s="3">
        <v>0.17141000000000001</v>
      </c>
      <c r="G57" s="3">
        <v>0.04</v>
      </c>
      <c r="H57">
        <f t="shared" ref="H57" si="147">(F57+G57)</f>
        <v>0.21141000000000001</v>
      </c>
      <c r="I57" s="72">
        <f t="shared" ref="I57" si="148">E57*(F57+G57)</f>
        <v>627.46487999999999</v>
      </c>
      <c r="J57" s="72">
        <f t="shared" ref="J57" si="149">I57*G$2</f>
        <v>564.71839199999999</v>
      </c>
      <c r="K57" s="72">
        <f t="shared" ref="K57" si="150">I57-J57</f>
        <v>62.746487999999999</v>
      </c>
      <c r="M57" s="79">
        <v>1250</v>
      </c>
      <c r="O57" s="4">
        <f>SUM(E$6:E57)</f>
        <v>352779</v>
      </c>
      <c r="P57" s="76">
        <f>SUM(K$6:K57)</f>
        <v>7162.8509989999984</v>
      </c>
      <c r="Q57" t="s">
        <v>106</v>
      </c>
      <c r="R57" s="70">
        <v>45334</v>
      </c>
    </row>
    <row r="58" spans="1:20" x14ac:dyDescent="0.2">
      <c r="A58" s="1" t="s">
        <v>19</v>
      </c>
      <c r="B58" s="70">
        <v>45308</v>
      </c>
      <c r="C58" s="71">
        <v>45338</v>
      </c>
      <c r="D58" s="1">
        <v>10999</v>
      </c>
      <c r="E58" s="4">
        <f t="shared" si="134"/>
        <v>3740</v>
      </c>
      <c r="F58" s="3">
        <v>0.17141000000000001</v>
      </c>
      <c r="G58" s="3">
        <v>0.04</v>
      </c>
      <c r="H58">
        <f t="shared" ref="H58" si="151">(F58+G58)</f>
        <v>0.21141000000000001</v>
      </c>
      <c r="I58" s="72">
        <f t="shared" ref="I58" si="152">E58*(F58+G58)</f>
        <v>790.67340000000002</v>
      </c>
      <c r="J58" s="72">
        <f t="shared" ref="J58" si="153">I58*G$2</f>
        <v>711.60606000000007</v>
      </c>
      <c r="K58" s="72">
        <f t="shared" ref="K58" si="154">I58-J58</f>
        <v>79.067339999999945</v>
      </c>
      <c r="M58" s="79">
        <v>1250</v>
      </c>
      <c r="O58" s="4">
        <f>SUM(E$6:E58)</f>
        <v>356519</v>
      </c>
      <c r="P58" s="76">
        <f>SUM(K$6:K58)</f>
        <v>7241.918338999998</v>
      </c>
      <c r="Q58" t="s">
        <v>108</v>
      </c>
      <c r="R58" s="70">
        <v>45354</v>
      </c>
    </row>
    <row r="59" spans="1:20" x14ac:dyDescent="0.2">
      <c r="A59" s="1" t="s">
        <v>20</v>
      </c>
      <c r="B59" s="70">
        <v>45338</v>
      </c>
      <c r="C59" s="71">
        <v>45370</v>
      </c>
      <c r="D59" s="1">
        <v>20602</v>
      </c>
      <c r="E59" s="4">
        <f t="shared" si="134"/>
        <v>7005</v>
      </c>
      <c r="F59" s="3">
        <v>0.17141000000000001</v>
      </c>
      <c r="G59" s="3">
        <v>0.04</v>
      </c>
      <c r="H59">
        <f t="shared" ref="H59" si="155">(F59+G59)</f>
        <v>0.21141000000000001</v>
      </c>
      <c r="I59" s="72">
        <f t="shared" ref="I59" si="156">E59*(F59+G59)</f>
        <v>1480.92705</v>
      </c>
      <c r="J59" s="72">
        <f t="shared" ref="J59" si="157">I59*G$2</f>
        <v>1332.834345</v>
      </c>
      <c r="K59" s="72">
        <f t="shared" ref="K59" si="158">I59-J59</f>
        <v>148.09270500000002</v>
      </c>
      <c r="M59" s="79">
        <v>1250</v>
      </c>
      <c r="O59" s="4">
        <f>SUM(E$6:E59)</f>
        <v>363524</v>
      </c>
      <c r="P59" s="76">
        <f>SUM(K$6:K59)</f>
        <v>7390.011043999998</v>
      </c>
      <c r="Q59" t="s">
        <v>110</v>
      </c>
      <c r="R59" s="70">
        <v>45380</v>
      </c>
    </row>
    <row r="60" spans="1:20" x14ac:dyDescent="0.2">
      <c r="A60" s="1" t="s">
        <v>5</v>
      </c>
      <c r="B60" s="70">
        <v>45370</v>
      </c>
      <c r="C60" s="71">
        <v>45400</v>
      </c>
      <c r="D60" s="1">
        <v>20079</v>
      </c>
      <c r="E60" s="4">
        <f t="shared" si="134"/>
        <v>6827</v>
      </c>
      <c r="F60" s="3">
        <v>0.17141000000000001</v>
      </c>
      <c r="G60" s="3">
        <v>0.04</v>
      </c>
      <c r="H60">
        <f t="shared" ref="H60" si="159">(F60+G60)</f>
        <v>0.21141000000000001</v>
      </c>
      <c r="I60" s="72">
        <f t="shared" ref="I60" si="160">E60*(F60+G60)</f>
        <v>1443.2960700000001</v>
      </c>
      <c r="J60" s="72">
        <f t="shared" ref="J60" si="161">I60*G$2</f>
        <v>1298.9664630000002</v>
      </c>
      <c r="K60" s="72">
        <f t="shared" ref="K60" si="162">I60-J60</f>
        <v>144.3296069999999</v>
      </c>
      <c r="M60" s="79">
        <v>1250</v>
      </c>
      <c r="O60" s="4">
        <f>SUM(E$6:E60)</f>
        <v>370351</v>
      </c>
      <c r="P60" s="76">
        <f>SUM(K$6:K60)</f>
        <v>7534.3406509999977</v>
      </c>
      <c r="Q60" t="s">
        <v>111</v>
      </c>
      <c r="R60" s="70">
        <v>45422</v>
      </c>
    </row>
    <row r="61" spans="1:20" x14ac:dyDescent="0.2">
      <c r="A61" s="1" t="s">
        <v>4</v>
      </c>
      <c r="B61" s="70">
        <v>45400</v>
      </c>
      <c r="C61" s="71">
        <v>45432</v>
      </c>
      <c r="D61" s="1">
        <v>24619</v>
      </c>
      <c r="E61" s="4">
        <f t="shared" si="134"/>
        <v>8370</v>
      </c>
      <c r="F61" s="3">
        <v>0.17141000000000001</v>
      </c>
      <c r="G61" s="3">
        <v>0.04</v>
      </c>
      <c r="H61">
        <f t="shared" ref="H61" si="163">(F61+G61)</f>
        <v>0.21141000000000001</v>
      </c>
      <c r="I61" s="72">
        <f t="shared" ref="I61" si="164">E61*(F61+G61)</f>
        <v>1769.5017</v>
      </c>
      <c r="J61" s="72">
        <f t="shared" ref="J61" si="165">I61*G$2</f>
        <v>1592.55153</v>
      </c>
      <c r="K61" s="72">
        <f t="shared" ref="K61" si="166">I61-J61</f>
        <v>176.95017000000007</v>
      </c>
      <c r="M61" s="79">
        <v>1250</v>
      </c>
      <c r="O61" s="4">
        <f>SUM(E$6:E61)</f>
        <v>378721</v>
      </c>
      <c r="P61" s="76">
        <f>SUM(K$6:K61)</f>
        <v>7711.2908209999978</v>
      </c>
      <c r="Q61" t="s">
        <v>112</v>
      </c>
      <c r="R61" s="70">
        <v>45453</v>
      </c>
    </row>
    <row r="62" spans="1:20" x14ac:dyDescent="0.2">
      <c r="A62" s="1" t="s">
        <v>11</v>
      </c>
      <c r="B62" s="70">
        <v>45432</v>
      </c>
      <c r="C62" s="71">
        <v>45462</v>
      </c>
      <c r="D62" s="1">
        <v>27586</v>
      </c>
      <c r="E62" s="4">
        <f t="shared" si="134"/>
        <v>9379</v>
      </c>
      <c r="F62" s="3">
        <v>0.17141000000000001</v>
      </c>
      <c r="G62" s="3">
        <v>0.04</v>
      </c>
      <c r="H62">
        <f t="shared" ref="H62" si="167">(F62+G62)</f>
        <v>0.21141000000000001</v>
      </c>
      <c r="I62" s="72">
        <f t="shared" ref="I62" si="168">E62*(F62+G62)</f>
        <v>1982.8143900000002</v>
      </c>
      <c r="J62" s="72">
        <f t="shared" ref="J62" si="169">I62*G$2</f>
        <v>1784.5329510000001</v>
      </c>
      <c r="K62" s="72">
        <f t="shared" ref="K62" si="170">I62-J62</f>
        <v>198.28143900000009</v>
      </c>
      <c r="M62" s="79">
        <v>1250</v>
      </c>
      <c r="O62" s="4">
        <f>SUM(E$6:E62)</f>
        <v>388100</v>
      </c>
      <c r="P62" s="76">
        <f>SUM(K$6:K62)</f>
        <v>7909.5722599999981</v>
      </c>
      <c r="Q62" t="s">
        <v>113</v>
      </c>
      <c r="R62" s="70">
        <v>45482</v>
      </c>
    </row>
    <row r="63" spans="1:20" x14ac:dyDescent="0.2">
      <c r="A63" s="1" t="s">
        <v>12</v>
      </c>
      <c r="B63" s="70">
        <v>45462</v>
      </c>
      <c r="C63" s="71">
        <v>45492</v>
      </c>
      <c r="D63" s="1">
        <v>26190</v>
      </c>
      <c r="E63" s="4">
        <f t="shared" ref="E63:E67" si="171">ROUND(D63*$E$2,0)</f>
        <v>8905</v>
      </c>
      <c r="F63" s="3">
        <v>0.17141000000000001</v>
      </c>
      <c r="G63" s="3">
        <v>0.04</v>
      </c>
      <c r="H63">
        <f t="shared" ref="H63" si="172">(F63+G63)</f>
        <v>0.21141000000000001</v>
      </c>
      <c r="I63" s="72">
        <f t="shared" ref="I63" si="173">E63*(F63+G63)</f>
        <v>1882.6060500000001</v>
      </c>
      <c r="J63" s="72">
        <f t="shared" ref="J63" si="174">I63*G$2</f>
        <v>1694.3454450000002</v>
      </c>
      <c r="K63" s="72">
        <f t="shared" ref="K63" si="175">I63-J63</f>
        <v>188.26060499999994</v>
      </c>
      <c r="M63" s="79">
        <v>1250</v>
      </c>
      <c r="O63" s="4">
        <f>SUM(E$6:E63)</f>
        <v>397005</v>
      </c>
      <c r="P63" s="76">
        <f>SUM(K$6:K63)</f>
        <v>8097.8328649999985</v>
      </c>
      <c r="Q63" t="s">
        <v>114</v>
      </c>
      <c r="R63" s="70">
        <v>45523</v>
      </c>
    </row>
    <row r="64" spans="1:20" s="66" customFormat="1" x14ac:dyDescent="0.2">
      <c r="A64" s="60" t="s">
        <v>13</v>
      </c>
      <c r="B64" s="74">
        <v>45492</v>
      </c>
      <c r="C64" s="75">
        <v>45523</v>
      </c>
      <c r="D64" s="60">
        <v>24793</v>
      </c>
      <c r="E64" s="64">
        <f t="shared" si="171"/>
        <v>8430</v>
      </c>
      <c r="F64" s="65">
        <v>0.18398</v>
      </c>
      <c r="G64" s="65">
        <v>0.04</v>
      </c>
      <c r="H64" s="66">
        <f t="shared" ref="H64" si="176">(F64+G64)</f>
        <v>0.22398000000000001</v>
      </c>
      <c r="I64" s="103">
        <f t="shared" ref="I64" si="177">E64*(F64+G64)</f>
        <v>1888.1514000000002</v>
      </c>
      <c r="J64" s="103">
        <f t="shared" ref="J64" si="178">I64*G$2</f>
        <v>1699.3362600000003</v>
      </c>
      <c r="K64" s="103">
        <f t="shared" ref="K64" si="179">I64-J64</f>
        <v>188.81513999999993</v>
      </c>
      <c r="M64" s="104">
        <v>1250</v>
      </c>
      <c r="O64" s="64">
        <f>SUM(E$6:E64)</f>
        <v>405435</v>
      </c>
      <c r="P64" s="78">
        <f>SUM(K$6:K64)</f>
        <v>8286.6480049999991</v>
      </c>
      <c r="Q64" s="66" t="s">
        <v>115</v>
      </c>
      <c r="R64" s="74">
        <v>45558</v>
      </c>
    </row>
    <row r="65" spans="1:19" x14ac:dyDescent="0.2">
      <c r="A65" s="1" t="s">
        <v>14</v>
      </c>
      <c r="B65" s="70">
        <v>45523</v>
      </c>
      <c r="C65" s="71">
        <v>45553</v>
      </c>
      <c r="D65" s="1">
        <v>27586</v>
      </c>
      <c r="E65" s="4">
        <f t="shared" si="171"/>
        <v>9379</v>
      </c>
      <c r="F65" s="3">
        <v>0.18398</v>
      </c>
      <c r="G65" s="3">
        <v>0.04</v>
      </c>
      <c r="H65">
        <f t="shared" ref="H65" si="180">(F65+G65)</f>
        <v>0.22398000000000001</v>
      </c>
      <c r="I65" s="72">
        <f t="shared" ref="I65" si="181">E65*(F65+G65)</f>
        <v>2100.7084199999999</v>
      </c>
      <c r="J65" s="72">
        <f t="shared" ref="J65" si="182">I65*G$2</f>
        <v>1890.6375780000001</v>
      </c>
      <c r="K65" s="72">
        <f t="shared" ref="K65" si="183">I65-J65</f>
        <v>210.07084199999986</v>
      </c>
      <c r="M65" s="79">
        <v>1250</v>
      </c>
      <c r="O65" s="4">
        <f>SUM(E$6:E65)</f>
        <v>414814</v>
      </c>
      <c r="P65" s="76">
        <f>SUM(K$6:K65)</f>
        <v>8496.7188469999983</v>
      </c>
      <c r="Q65" t="s">
        <v>117</v>
      </c>
      <c r="R65" s="70">
        <v>45577</v>
      </c>
    </row>
    <row r="66" spans="1:19" x14ac:dyDescent="0.2">
      <c r="A66" s="1" t="s">
        <v>15</v>
      </c>
      <c r="B66" s="70">
        <v>45553</v>
      </c>
      <c r="C66" s="71">
        <v>45583</v>
      </c>
      <c r="D66" s="1">
        <v>19206</v>
      </c>
      <c r="E66" s="4">
        <f t="shared" si="171"/>
        <v>6530</v>
      </c>
      <c r="F66" s="3">
        <v>0.18398</v>
      </c>
      <c r="G66" s="3">
        <v>0.04</v>
      </c>
      <c r="H66">
        <f>(F66+G66)</f>
        <v>0.22398000000000001</v>
      </c>
      <c r="I66" s="72">
        <f t="shared" ref="I66" si="184">E66*(F66+G66)</f>
        <v>1462.5894000000001</v>
      </c>
      <c r="J66" s="72">
        <f t="shared" ref="J66" si="185">I66*G$2</f>
        <v>1316.3304600000001</v>
      </c>
      <c r="K66" s="72">
        <f t="shared" ref="K66" si="186">I66-J66</f>
        <v>146.25893999999994</v>
      </c>
      <c r="M66" s="79">
        <v>1250</v>
      </c>
      <c r="O66" s="4">
        <f>SUM(E$6:E66)</f>
        <v>421344</v>
      </c>
      <c r="P66" s="76">
        <f>SUM(K$6:K66)</f>
        <v>8642.977786999998</v>
      </c>
      <c r="Q66" t="s">
        <v>119</v>
      </c>
      <c r="R66" s="70">
        <v>45604</v>
      </c>
    </row>
    <row r="67" spans="1:19" x14ac:dyDescent="0.2">
      <c r="A67" s="1" t="s">
        <v>16</v>
      </c>
      <c r="B67" s="70">
        <v>45583</v>
      </c>
      <c r="C67" s="71">
        <v>45614</v>
      </c>
      <c r="D67" s="1">
        <v>20428</v>
      </c>
      <c r="E67" s="4">
        <f t="shared" si="171"/>
        <v>6946</v>
      </c>
      <c r="F67" s="3">
        <v>0.18398</v>
      </c>
      <c r="G67" s="3">
        <v>0.04</v>
      </c>
      <c r="H67">
        <f t="shared" ref="H67" si="187">(F67+G67)</f>
        <v>0.22398000000000001</v>
      </c>
      <c r="I67" s="72">
        <f t="shared" ref="I67" si="188">E67*(F67+G67)</f>
        <v>1555.7650800000001</v>
      </c>
      <c r="J67" s="72">
        <f t="shared" ref="J67" si="189">I67*G$2</f>
        <v>1400.1885720000002</v>
      </c>
      <c r="K67" s="72">
        <f t="shared" ref="K67" si="190">I67-J67</f>
        <v>155.57650799999988</v>
      </c>
      <c r="M67" s="79">
        <v>1250</v>
      </c>
      <c r="O67" s="4">
        <f>SUM(E$6:E67)</f>
        <v>428290</v>
      </c>
      <c r="P67" s="76">
        <f>SUM(K$6:K67)</f>
        <v>8798.5542949999981</v>
      </c>
      <c r="Q67" t="s">
        <v>120</v>
      </c>
      <c r="R67" s="70">
        <v>45631</v>
      </c>
    </row>
    <row r="68" spans="1:19" x14ac:dyDescent="0.2">
      <c r="A68" s="1" t="s">
        <v>17</v>
      </c>
      <c r="B68" s="70">
        <v>45614</v>
      </c>
      <c r="C68" s="71">
        <v>45642</v>
      </c>
      <c r="D68" s="1">
        <v>8206</v>
      </c>
      <c r="E68" s="4">
        <f t="shared" ref="E68:E78" si="191">ROUND(D68*$E$2,0)</f>
        <v>2790</v>
      </c>
      <c r="F68" s="3">
        <v>0.18398</v>
      </c>
      <c r="G68" s="3">
        <v>0.04</v>
      </c>
      <c r="H68">
        <f t="shared" ref="H68" si="192">(F68+G68)</f>
        <v>0.22398000000000001</v>
      </c>
      <c r="I68" s="72">
        <f t="shared" ref="I68" si="193">E68*(F68+G68)</f>
        <v>624.90420000000006</v>
      </c>
      <c r="J68" s="72">
        <f t="shared" ref="J68" si="194">I68*G$2</f>
        <v>562.41378000000009</v>
      </c>
      <c r="K68" s="72">
        <f t="shared" ref="K68" si="195">I68-J68</f>
        <v>62.490419999999972</v>
      </c>
      <c r="M68" s="79">
        <v>1250</v>
      </c>
      <c r="O68" s="4">
        <f>SUM(E$6:E68)</f>
        <v>431080</v>
      </c>
      <c r="P68" s="76">
        <f>SUM(K$6:K68)</f>
        <v>8861.0447149999982</v>
      </c>
      <c r="Q68" t="s">
        <v>121</v>
      </c>
      <c r="R68" s="70">
        <v>45720</v>
      </c>
      <c r="S68" t="s">
        <v>125</v>
      </c>
    </row>
    <row r="69" spans="1:19" x14ac:dyDescent="0.2">
      <c r="A69" s="1" t="s">
        <v>18</v>
      </c>
      <c r="B69" s="70">
        <v>45642</v>
      </c>
      <c r="C69" s="71">
        <v>45672</v>
      </c>
      <c r="D69" s="1">
        <v>8555</v>
      </c>
      <c r="E69" s="4">
        <f t="shared" si="191"/>
        <v>2909</v>
      </c>
      <c r="F69" s="3">
        <v>0.18398</v>
      </c>
      <c r="G69" s="3">
        <v>0.04</v>
      </c>
      <c r="H69">
        <f t="shared" ref="H69" si="196">(F69+G69)</f>
        <v>0.22398000000000001</v>
      </c>
      <c r="I69" s="72">
        <f t="shared" ref="I69" si="197">E69*(F69+G69)</f>
        <v>651.55781999999999</v>
      </c>
      <c r="J69" s="72">
        <f t="shared" ref="J69" si="198">I69*G$2</f>
        <v>586.40203800000006</v>
      </c>
      <c r="K69" s="72">
        <f t="shared" ref="K69" si="199">I69-J69</f>
        <v>65.155781999999931</v>
      </c>
      <c r="M69" s="79">
        <v>1250</v>
      </c>
      <c r="O69" s="4">
        <f>SUM(E$6:E69)</f>
        <v>433989</v>
      </c>
      <c r="P69" s="76">
        <f>SUM(K$6:K69)</f>
        <v>8926.200496999998</v>
      </c>
      <c r="Q69" t="s">
        <v>122</v>
      </c>
      <c r="R69" s="70">
        <v>45703</v>
      </c>
    </row>
    <row r="70" spans="1:19" x14ac:dyDescent="0.2">
      <c r="A70" s="1" t="s">
        <v>19</v>
      </c>
      <c r="B70" s="70">
        <v>45672</v>
      </c>
      <c r="C70" s="71">
        <v>45702</v>
      </c>
      <c r="D70" s="1">
        <v>9079</v>
      </c>
      <c r="E70" s="4">
        <f t="shared" si="191"/>
        <v>3087</v>
      </c>
      <c r="F70" s="3">
        <v>0.18398</v>
      </c>
      <c r="G70" s="3">
        <v>0.04</v>
      </c>
      <c r="H70">
        <f t="shared" ref="H70" si="200">(F70+G70)</f>
        <v>0.22398000000000001</v>
      </c>
      <c r="I70" s="72">
        <f t="shared" ref="I70" si="201">E70*(F70+G70)</f>
        <v>691.42626000000007</v>
      </c>
      <c r="J70" s="72">
        <f t="shared" ref="J70" si="202">I70*G$2</f>
        <v>622.28363400000012</v>
      </c>
      <c r="K70" s="72">
        <f t="shared" ref="K70" si="203">I70-J70</f>
        <v>69.14262599999995</v>
      </c>
      <c r="M70" s="79">
        <v>1250</v>
      </c>
      <c r="O70" s="4">
        <f>SUM(E$6:E70)</f>
        <v>437076</v>
      </c>
      <c r="P70" s="76">
        <f>SUM(K$6:K70)</f>
        <v>8995.3431229999987</v>
      </c>
      <c r="Q70" t="s">
        <v>123</v>
      </c>
      <c r="R70" s="70">
        <v>45720</v>
      </c>
    </row>
    <row r="71" spans="1:19" x14ac:dyDescent="0.2">
      <c r="A71" s="1" t="s">
        <v>20</v>
      </c>
      <c r="B71" s="70">
        <v>45702</v>
      </c>
      <c r="C71" s="71">
        <v>45734</v>
      </c>
      <c r="D71" s="1">
        <v>18682</v>
      </c>
      <c r="E71" s="4">
        <f t="shared" si="191"/>
        <v>6352</v>
      </c>
      <c r="F71" s="3">
        <v>0.18398</v>
      </c>
      <c r="G71" s="3">
        <v>0.04</v>
      </c>
      <c r="H71">
        <f t="shared" ref="H71" si="204">(F71+G71)</f>
        <v>0.22398000000000001</v>
      </c>
      <c r="I71" s="72">
        <f t="shared" ref="I71" si="205">E71*(F71+G71)</f>
        <v>1422.7209600000001</v>
      </c>
      <c r="J71" s="72">
        <f t="shared" ref="J71" si="206">I71*G$2</f>
        <v>1280.4488640000002</v>
      </c>
      <c r="K71" s="72">
        <f t="shared" ref="K71" si="207">I71-J71</f>
        <v>142.27209599999992</v>
      </c>
      <c r="M71" s="79">
        <v>1250</v>
      </c>
      <c r="O71" s="4">
        <f>SUM(E$6:E71)</f>
        <v>443428</v>
      </c>
      <c r="P71" s="76">
        <f>SUM(K$6:K71)</f>
        <v>9137.6152189999993</v>
      </c>
      <c r="Q71" t="s">
        <v>124</v>
      </c>
      <c r="R71" s="70">
        <v>45759</v>
      </c>
    </row>
    <row r="72" spans="1:19" x14ac:dyDescent="0.2">
      <c r="A72" s="1" t="s">
        <v>5</v>
      </c>
      <c r="B72" s="70">
        <v>45734</v>
      </c>
      <c r="C72" s="71">
        <v>45398</v>
      </c>
      <c r="D72" s="1">
        <v>16587</v>
      </c>
      <c r="E72" s="4">
        <f t="shared" si="191"/>
        <v>5640</v>
      </c>
      <c r="F72" s="3">
        <v>0.18398</v>
      </c>
      <c r="G72" s="3">
        <v>0.04</v>
      </c>
      <c r="H72">
        <f t="shared" ref="H72" si="208">(F72+G72)</f>
        <v>0.22398000000000001</v>
      </c>
      <c r="I72" s="72">
        <f t="shared" ref="I72" si="209">E72*(F72+G72)</f>
        <v>1263.2472</v>
      </c>
      <c r="J72" s="72">
        <f t="shared" ref="J72" si="210">I72*G$2</f>
        <v>1136.92248</v>
      </c>
      <c r="K72" s="72">
        <f t="shared" ref="K72" si="211">I72-J72</f>
        <v>126.32472000000007</v>
      </c>
      <c r="M72" s="79">
        <v>1250</v>
      </c>
      <c r="O72" s="4">
        <f>SUM(E$6:E72)</f>
        <v>449068</v>
      </c>
      <c r="P72" s="76">
        <f>SUM(K$6:K72)</f>
        <v>9263.9399389999999</v>
      </c>
      <c r="Q72" t="s">
        <v>126</v>
      </c>
      <c r="R72" s="70">
        <v>45800</v>
      </c>
    </row>
    <row r="73" spans="1:19" x14ac:dyDescent="0.2">
      <c r="A73" s="1" t="s">
        <v>4</v>
      </c>
      <c r="B73" s="70">
        <v>45763</v>
      </c>
      <c r="C73" s="71">
        <v>45793</v>
      </c>
      <c r="D73" s="1">
        <v>21127</v>
      </c>
      <c r="E73" s="4">
        <f t="shared" si="191"/>
        <v>7183</v>
      </c>
      <c r="F73" s="3">
        <v>0.18398</v>
      </c>
      <c r="G73" s="3">
        <v>0.04</v>
      </c>
      <c r="H73">
        <f t="shared" ref="H73" si="212">(F73+G73)</f>
        <v>0.22398000000000001</v>
      </c>
      <c r="I73" s="72">
        <f t="shared" ref="I73" si="213">E73*(F73+G73)</f>
        <v>1608.84834</v>
      </c>
      <c r="J73" s="72">
        <f t="shared" ref="J73" si="214">I73*G$2</f>
        <v>1447.9635060000001</v>
      </c>
      <c r="K73" s="72">
        <f t="shared" ref="K73" si="215">I73-J73</f>
        <v>160.88483399999996</v>
      </c>
      <c r="M73" s="79">
        <v>1250</v>
      </c>
      <c r="O73" s="4">
        <f>SUM(E$6:E73)</f>
        <v>456251</v>
      </c>
      <c r="P73" s="76">
        <f>SUM(K$6:K73)</f>
        <v>9424.8247730000003</v>
      </c>
      <c r="Q73" t="s">
        <v>127</v>
      </c>
      <c r="R73" s="70">
        <v>45814</v>
      </c>
    </row>
    <row r="74" spans="1:19" x14ac:dyDescent="0.2">
      <c r="A74" s="1" t="s">
        <v>11</v>
      </c>
      <c r="B74" s="70">
        <v>45793</v>
      </c>
      <c r="C74" s="71">
        <v>45825</v>
      </c>
      <c r="D74" s="1">
        <v>21475</v>
      </c>
      <c r="E74" s="4">
        <f t="shared" si="191"/>
        <v>7302</v>
      </c>
      <c r="F74" s="3">
        <v>0.18398</v>
      </c>
      <c r="G74" s="3">
        <v>0.04</v>
      </c>
      <c r="H74">
        <f t="shared" ref="H74" si="216">(F74+G74)</f>
        <v>0.22398000000000001</v>
      </c>
      <c r="I74" s="72">
        <f t="shared" ref="I74" si="217">E74*(F74+G74)</f>
        <v>1635.5019600000001</v>
      </c>
      <c r="J74" s="72">
        <f t="shared" ref="J74" si="218">I74*G$2</f>
        <v>1471.9517640000001</v>
      </c>
      <c r="K74" s="72">
        <f t="shared" ref="K74" si="219">I74-J74</f>
        <v>163.55019599999991</v>
      </c>
      <c r="M74" s="79">
        <v>1250</v>
      </c>
      <c r="O74" s="4">
        <f>SUM(E$6:E74)</f>
        <v>463553</v>
      </c>
      <c r="P74" s="76">
        <f>SUM(K$6:K74)</f>
        <v>9588.3749690000004</v>
      </c>
      <c r="Q74" t="s">
        <v>128</v>
      </c>
      <c r="R74" s="70">
        <v>45840</v>
      </c>
    </row>
    <row r="75" spans="1:19" x14ac:dyDescent="0.2">
      <c r="A75" s="1" t="s">
        <v>12</v>
      </c>
      <c r="B75" s="70">
        <v>45825</v>
      </c>
      <c r="C75" s="71">
        <v>45855</v>
      </c>
      <c r="D75" s="1">
        <v>23746</v>
      </c>
      <c r="E75" s="4">
        <f t="shared" si="191"/>
        <v>8074</v>
      </c>
      <c r="F75" s="3">
        <v>0.18398</v>
      </c>
      <c r="G75" s="3">
        <v>0.04</v>
      </c>
      <c r="H75">
        <f t="shared" ref="H75" si="220">(F75+G75)</f>
        <v>0.22398000000000001</v>
      </c>
      <c r="I75" s="72">
        <f t="shared" ref="I75" si="221">E75*(F75+G75)</f>
        <v>1808.41452</v>
      </c>
      <c r="J75" s="72">
        <f t="shared" ref="J75" si="222">I75*G$2</f>
        <v>1627.5730680000001</v>
      </c>
      <c r="K75" s="72">
        <f t="shared" ref="K75" si="223">I75-J75</f>
        <v>180.84145199999989</v>
      </c>
      <c r="M75" s="79">
        <v>1250</v>
      </c>
      <c r="O75" s="4">
        <f>SUM(E$6:E75)</f>
        <v>471627</v>
      </c>
      <c r="P75" s="76">
        <f>SUM(K$6:K75)</f>
        <v>9769.216421000001</v>
      </c>
      <c r="Q75" t="s">
        <v>129</v>
      </c>
      <c r="R75" s="70">
        <v>45883</v>
      </c>
    </row>
    <row r="76" spans="1:19" s="66" customFormat="1" x14ac:dyDescent="0.2">
      <c r="A76" s="60" t="s">
        <v>13</v>
      </c>
      <c r="B76" s="74">
        <v>45855</v>
      </c>
      <c r="C76" s="75">
        <v>45884</v>
      </c>
      <c r="D76" s="60">
        <v>26015</v>
      </c>
      <c r="E76" s="64">
        <f t="shared" si="191"/>
        <v>8845</v>
      </c>
      <c r="F76" s="65">
        <v>0.18398</v>
      </c>
      <c r="G76" s="65">
        <v>0.04</v>
      </c>
      <c r="H76" s="66">
        <f t="shared" ref="H76" si="224">(F76+G76)</f>
        <v>0.22398000000000001</v>
      </c>
      <c r="I76" s="103">
        <f t="shared" ref="I76" si="225">E76*(F76+G76)</f>
        <v>1981.1031</v>
      </c>
      <c r="J76" s="103">
        <f t="shared" ref="J76" si="226">I76*G$2</f>
        <v>1782.99279</v>
      </c>
      <c r="K76" s="103">
        <f t="shared" ref="K76" si="227">I76-J76</f>
        <v>198.11031000000003</v>
      </c>
      <c r="M76" s="104">
        <v>1250</v>
      </c>
      <c r="O76" s="64">
        <f>SUM(E$6:E76)</f>
        <v>480472</v>
      </c>
      <c r="P76" s="78">
        <f>SUM(K$6:K76)</f>
        <v>9967.326731000001</v>
      </c>
      <c r="Q76" s="66" t="s">
        <v>130</v>
      </c>
      <c r="R76" s="74">
        <v>45912</v>
      </c>
    </row>
    <row r="77" spans="1:19" x14ac:dyDescent="0.2">
      <c r="A77" s="1" t="s">
        <v>14</v>
      </c>
      <c r="B77" s="70">
        <v>45884</v>
      </c>
      <c r="C77" s="71">
        <v>45916</v>
      </c>
      <c r="D77" s="1">
        <v>25840</v>
      </c>
      <c r="E77" s="4">
        <f t="shared" si="191"/>
        <v>8786</v>
      </c>
      <c r="F77" s="3">
        <v>0.18398</v>
      </c>
      <c r="G77" s="3">
        <v>0.04</v>
      </c>
      <c r="H77">
        <f t="shared" ref="H77" si="228">(F77+G77)</f>
        <v>0.22398000000000001</v>
      </c>
      <c r="I77" s="72">
        <f t="shared" ref="I77" si="229">E77*(F77+G77)</f>
        <v>1967.8882800000001</v>
      </c>
      <c r="J77" s="72">
        <f t="shared" ref="J77" si="230">I77*G$2</f>
        <v>1771.0994520000002</v>
      </c>
      <c r="K77" s="72">
        <f t="shared" ref="K77" si="231">I77-J77</f>
        <v>196.78882799999997</v>
      </c>
      <c r="M77" s="79">
        <v>1250</v>
      </c>
      <c r="O77" s="4">
        <f>SUM(E$6:E77)</f>
        <v>489258</v>
      </c>
      <c r="P77" s="76">
        <f>SUM(K$6:K77)</f>
        <v>10164.115559000002</v>
      </c>
      <c r="Q77" t="s">
        <v>137</v>
      </c>
      <c r="R77" s="70">
        <v>46305</v>
      </c>
    </row>
    <row r="78" spans="1:19" x14ac:dyDescent="0.2">
      <c r="A78" s="1" t="s">
        <v>15</v>
      </c>
      <c r="B78" s="70">
        <v>45916</v>
      </c>
      <c r="C78" s="71">
        <v>45946</v>
      </c>
      <c r="D78" s="105">
        <v>24968</v>
      </c>
      <c r="E78" s="4">
        <f t="shared" si="191"/>
        <v>8489</v>
      </c>
      <c r="F78" s="3">
        <v>0.18398</v>
      </c>
      <c r="G78" s="3">
        <v>0.04</v>
      </c>
      <c r="H78">
        <f t="shared" ref="H78" si="232">(F78+G78)</f>
        <v>0.22398000000000001</v>
      </c>
      <c r="I78" s="72">
        <f t="shared" ref="I78" si="233">E78*(F78+G78)</f>
        <v>1901.3662200000001</v>
      </c>
      <c r="J78" s="72">
        <f t="shared" ref="J78" si="234">I78*G$2</f>
        <v>1711.2295980000001</v>
      </c>
      <c r="K78" s="72">
        <f t="shared" ref="K78" si="235">I78-J78</f>
        <v>190.13662199999999</v>
      </c>
      <c r="M78" s="79">
        <v>1250</v>
      </c>
      <c r="O78" s="4">
        <f>SUM(E$6:E78)</f>
        <v>497747</v>
      </c>
      <c r="P78" s="76">
        <f>SUM(K$6:K78)</f>
        <v>10354.252181000002</v>
      </c>
      <c r="Q78" t="s">
        <v>139</v>
      </c>
      <c r="R78" s="70">
        <v>45968</v>
      </c>
    </row>
    <row r="79" spans="1:19" x14ac:dyDescent="0.2">
      <c r="A79" s="1" t="s">
        <v>16</v>
      </c>
      <c r="B79" s="70">
        <v>45946</v>
      </c>
      <c r="C79" s="71">
        <v>45978</v>
      </c>
      <c r="D79" s="1">
        <v>14491</v>
      </c>
      <c r="E79" s="4">
        <f t="shared" ref="E79" si="236">ROUND(D79*$E$2,0)</f>
        <v>4927</v>
      </c>
      <c r="F79" s="3">
        <v>0.18398</v>
      </c>
      <c r="G79" s="3">
        <v>0.04</v>
      </c>
      <c r="H79">
        <f t="shared" ref="H79" si="237">(F79+G79)</f>
        <v>0.22398000000000001</v>
      </c>
      <c r="I79" s="72">
        <f t="shared" ref="I79" si="238">E79*(F79+G79)</f>
        <v>1103.54946</v>
      </c>
      <c r="J79" s="72">
        <f t="shared" ref="J79" si="239">I79*G$2</f>
        <v>993.19451400000003</v>
      </c>
      <c r="K79" s="72">
        <f t="shared" ref="K79" si="240">I79-J79</f>
        <v>110.35494599999993</v>
      </c>
      <c r="M79" s="79">
        <v>1250</v>
      </c>
      <c r="O79" s="4">
        <f>SUM(E$6:E79)</f>
        <v>502674</v>
      </c>
      <c r="P79" s="76">
        <f>SUM(K$6:K79)</f>
        <v>10464.607127000001</v>
      </c>
      <c r="Q79" t="s">
        <v>140</v>
      </c>
      <c r="R79" s="70">
        <v>46005</v>
      </c>
    </row>
    <row r="80" spans="1:19" x14ac:dyDescent="0.2">
      <c r="A80" s="1" t="s">
        <v>17</v>
      </c>
      <c r="B80" s="70">
        <v>45978</v>
      </c>
      <c r="C80" s="71">
        <v>46007</v>
      </c>
      <c r="D80" s="1">
        <v>9254</v>
      </c>
      <c r="E80" s="4">
        <f t="shared" ref="E80" si="241">ROUND(D80*$E$2,0)</f>
        <v>3146</v>
      </c>
      <c r="F80" s="3">
        <v>0.18398</v>
      </c>
      <c r="G80" s="3">
        <v>0.04</v>
      </c>
      <c r="H80">
        <f t="shared" ref="H80" si="242">(F80+G80)</f>
        <v>0.22398000000000001</v>
      </c>
      <c r="I80" s="72">
        <f t="shared" ref="I80" si="243">E80*(F80+G80)</f>
        <v>704.64107999999999</v>
      </c>
      <c r="J80" s="72">
        <f t="shared" ref="J80" si="244">I80*G$2</f>
        <v>634.17697199999998</v>
      </c>
      <c r="K80" s="72">
        <f t="shared" ref="K80" si="245">I80-J80</f>
        <v>70.46410800000001</v>
      </c>
      <c r="M80" s="79">
        <v>1250</v>
      </c>
      <c r="O80" s="4">
        <f>SUM(E$6:E80)</f>
        <v>505820</v>
      </c>
      <c r="P80" s="76">
        <f>SUM(K$6:K80)</f>
        <v>10535.071235000001</v>
      </c>
      <c r="Q80" t="s">
        <v>141</v>
      </c>
      <c r="R80" s="70">
        <v>46037</v>
      </c>
    </row>
    <row r="81" spans="1:18" x14ac:dyDescent="0.2">
      <c r="A81" s="1" t="s">
        <v>18</v>
      </c>
      <c r="B81" s="70">
        <v>46007</v>
      </c>
      <c r="C81" s="71">
        <v>46037</v>
      </c>
      <c r="D81" s="1">
        <v>8206</v>
      </c>
      <c r="E81" s="4">
        <f t="shared" ref="E81:E85" si="246">ROUND(D81*$E$2,0)</f>
        <v>2790</v>
      </c>
      <c r="F81" s="3">
        <v>0.18398</v>
      </c>
      <c r="G81" s="3">
        <v>0.04</v>
      </c>
      <c r="H81">
        <f t="shared" ref="H81" si="247">(F81+G81)</f>
        <v>0.22398000000000001</v>
      </c>
      <c r="I81" s="72">
        <f t="shared" ref="I81" si="248">E81*(F81+G81)</f>
        <v>624.90420000000006</v>
      </c>
      <c r="J81" s="72">
        <f t="shared" ref="J81" si="249">I81*G$2</f>
        <v>562.41378000000009</v>
      </c>
      <c r="K81" s="72">
        <f t="shared" ref="K81" si="250">I81-J81</f>
        <v>62.490419999999972</v>
      </c>
      <c r="M81" s="79">
        <v>1250</v>
      </c>
      <c r="O81" s="4">
        <f>SUM(E$6:E81)</f>
        <v>508610</v>
      </c>
      <c r="P81" s="76">
        <f>SUM(K$6:K81)</f>
        <v>10597.561655000001</v>
      </c>
      <c r="Q81" t="s">
        <v>142</v>
      </c>
      <c r="R81" s="70">
        <v>46067</v>
      </c>
    </row>
    <row r="82" spans="1:18" x14ac:dyDescent="0.2">
      <c r="A82" s="1" t="s">
        <v>19</v>
      </c>
      <c r="B82" s="70">
        <v>46037</v>
      </c>
      <c r="C82" s="71">
        <v>46069</v>
      </c>
      <c r="D82" s="1">
        <v>12222</v>
      </c>
      <c r="E82" s="4">
        <f t="shared" si="246"/>
        <v>4155</v>
      </c>
      <c r="F82" s="3">
        <v>0.18398</v>
      </c>
      <c r="G82" s="3">
        <v>0.04</v>
      </c>
      <c r="H82">
        <f t="shared" ref="H82" si="251">(F82+G82)</f>
        <v>0.22398000000000001</v>
      </c>
      <c r="I82" s="72">
        <f t="shared" ref="I82" si="252">E82*(F82+G82)</f>
        <v>930.63690000000008</v>
      </c>
      <c r="J82" s="72">
        <f t="shared" ref="J82" si="253">I82*G$2</f>
        <v>837.57321000000013</v>
      </c>
      <c r="K82" s="72">
        <f t="shared" ref="K82" si="254">I82-J82</f>
        <v>93.063689999999951</v>
      </c>
      <c r="M82" s="79">
        <v>1250</v>
      </c>
      <c r="O82" s="4">
        <f>SUM(E$6:E82)</f>
        <v>512765</v>
      </c>
      <c r="P82" s="76">
        <f>SUM(K$6:K82)</f>
        <v>10690.625345</v>
      </c>
      <c r="Q82" t="s">
        <v>143</v>
      </c>
      <c r="R82" s="70">
        <v>46096</v>
      </c>
    </row>
    <row r="83" spans="1:18" x14ac:dyDescent="0.2">
      <c r="A83" s="1" t="s">
        <v>20</v>
      </c>
      <c r="B83" s="70">
        <v>46069</v>
      </c>
      <c r="C83" s="71">
        <v>46099</v>
      </c>
      <c r="D83" s="1">
        <v>16761</v>
      </c>
      <c r="E83" s="4">
        <f t="shared" si="246"/>
        <v>5699</v>
      </c>
      <c r="F83" s="3">
        <v>0.18398</v>
      </c>
      <c r="G83" s="3">
        <v>0.04</v>
      </c>
      <c r="H83">
        <f t="shared" ref="H83" si="255">(F83+G83)</f>
        <v>0.22398000000000001</v>
      </c>
      <c r="I83" s="72">
        <f t="shared" ref="I83" si="256">E83*(F83+G83)</f>
        <v>1276.4620200000002</v>
      </c>
      <c r="J83" s="72">
        <f t="shared" ref="J83" si="257">I83*G$2</f>
        <v>1148.8158180000003</v>
      </c>
      <c r="K83" s="72">
        <f t="shared" ref="K83" si="258">I83-J83</f>
        <v>127.6462019999999</v>
      </c>
      <c r="M83" s="79">
        <v>1250</v>
      </c>
      <c r="O83" s="4">
        <f>SUM(E$6:E83)</f>
        <v>518464</v>
      </c>
      <c r="P83" s="76">
        <f>SUM(K$6:K83)</f>
        <v>10818.271547</v>
      </c>
      <c r="Q83" t="s">
        <v>144</v>
      </c>
      <c r="R83" s="70">
        <v>46140</v>
      </c>
    </row>
    <row r="84" spans="1:18" x14ac:dyDescent="0.2">
      <c r="A84" s="1" t="s">
        <v>5</v>
      </c>
      <c r="B84" s="70">
        <v>46099</v>
      </c>
      <c r="C84" s="71">
        <v>46129</v>
      </c>
      <c r="D84" s="1">
        <v>20340</v>
      </c>
      <c r="E84" s="4">
        <f t="shared" si="246"/>
        <v>6916</v>
      </c>
      <c r="F84" s="3">
        <v>0.18398</v>
      </c>
      <c r="G84" s="3">
        <v>0.04</v>
      </c>
      <c r="H84">
        <f t="shared" ref="H84" si="259">(F84+G84)</f>
        <v>0.22398000000000001</v>
      </c>
      <c r="I84" s="72">
        <f t="shared" ref="I84" si="260">E84*(F84+G84)</f>
        <v>1549.0456800000002</v>
      </c>
      <c r="J84" s="72">
        <f t="shared" ref="J84" si="261">I84*G$2</f>
        <v>1394.1411120000002</v>
      </c>
      <c r="K84" s="72">
        <f t="shared" ref="K84" si="262">I84-J84</f>
        <v>154.90456799999993</v>
      </c>
      <c r="M84" s="79">
        <v>1250</v>
      </c>
      <c r="O84" s="4">
        <f>SUM(E$6:E84)</f>
        <v>525380</v>
      </c>
      <c r="P84" s="76">
        <f>SUM(K$6:K84)</f>
        <v>10973.176115</v>
      </c>
      <c r="Q84" t="s">
        <v>145</v>
      </c>
      <c r="R84" s="70">
        <v>46150</v>
      </c>
    </row>
    <row r="85" spans="1:18" x14ac:dyDescent="0.2">
      <c r="A85" s="1" t="s">
        <v>4</v>
      </c>
      <c r="B85" s="70">
        <v>46129</v>
      </c>
      <c r="C85" s="71">
        <v>46161</v>
      </c>
      <c r="D85" s="1">
        <v>26825</v>
      </c>
      <c r="E85" s="4">
        <f t="shared" si="246"/>
        <v>9121</v>
      </c>
      <c r="F85" s="3">
        <v>0.18398</v>
      </c>
      <c r="G85" s="3">
        <v>0.04</v>
      </c>
      <c r="H85">
        <f t="shared" ref="H85" si="263">(F85+G85)</f>
        <v>0.22398000000000001</v>
      </c>
      <c r="I85" s="72">
        <f t="shared" ref="I85" si="264">E85*(F85+G85)</f>
        <v>2042.9215800000002</v>
      </c>
      <c r="J85" s="72">
        <f t="shared" ref="J85" si="265">I85*G$2</f>
        <v>1838.6294220000002</v>
      </c>
      <c r="K85" s="72">
        <f t="shared" ref="K85" si="266">I85-J85</f>
        <v>204.29215799999997</v>
      </c>
      <c r="M85" s="79">
        <v>1250</v>
      </c>
      <c r="O85" s="4">
        <f>SUM(E$6:E85)</f>
        <v>534501</v>
      </c>
      <c r="P85" s="76">
        <f>SUM(K$6:K85)</f>
        <v>11177.468273</v>
      </c>
      <c r="Q85" t="s">
        <v>146</v>
      </c>
      <c r="R85" s="70">
        <v>46180</v>
      </c>
    </row>
  </sheetData>
  <pageMargins left="0.7" right="0.7" top="0.75" bottom="0.7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DE23-5B75-E146-980B-CC28793A6CB9}">
  <sheetPr>
    <tabColor theme="9" tint="0.39997558519241921"/>
    <pageSetUpPr fitToPage="1"/>
  </sheetPr>
  <dimension ref="B1:N36"/>
  <sheetViews>
    <sheetView topLeftCell="A17" zoomScale="101" workbookViewId="0">
      <selection activeCell="E35" sqref="E35"/>
    </sheetView>
  </sheetViews>
  <sheetFormatPr baseColWidth="10" defaultRowHeight="21" x14ac:dyDescent="0.25"/>
  <cols>
    <col min="3" max="3" width="35" style="24" customWidth="1"/>
    <col min="4" max="4" width="4.5" style="24" customWidth="1"/>
    <col min="5" max="5" width="12.6640625" style="25" customWidth="1"/>
    <col min="6" max="6" width="3.6640625" style="25" customWidth="1"/>
    <col min="7" max="7" width="17.6640625" style="24" customWidth="1"/>
    <col min="8" max="8" width="16" style="24" customWidth="1"/>
    <col min="9" max="9" width="10.83203125" style="24"/>
    <col min="13" max="14" width="17.83203125" customWidth="1"/>
  </cols>
  <sheetData>
    <row r="1" spans="2:14" x14ac:dyDescent="0.25">
      <c r="B1" s="21"/>
      <c r="C1" s="30"/>
      <c r="D1" s="30"/>
      <c r="E1" s="31"/>
      <c r="F1" s="31"/>
      <c r="G1" s="30"/>
      <c r="H1" s="30"/>
      <c r="I1" s="43"/>
    </row>
    <row r="2" spans="2:14" x14ac:dyDescent="0.25">
      <c r="B2" s="22"/>
      <c r="I2" s="44"/>
    </row>
    <row r="3" spans="2:14" ht="22" x14ac:dyDescent="0.3">
      <c r="B3" s="22"/>
      <c r="C3" s="32" t="s">
        <v>38</v>
      </c>
      <c r="D3" s="32"/>
      <c r="E3" s="28"/>
      <c r="F3" s="28"/>
      <c r="G3" s="26"/>
      <c r="H3" s="26"/>
      <c r="I3" s="45"/>
    </row>
    <row r="4" spans="2:14" ht="22" x14ac:dyDescent="0.3">
      <c r="B4" s="22"/>
      <c r="C4" s="26"/>
      <c r="D4" s="26"/>
      <c r="E4" s="28"/>
      <c r="F4" s="28"/>
      <c r="G4" s="26"/>
      <c r="H4" s="26"/>
      <c r="I4" s="45"/>
    </row>
    <row r="5" spans="2:14" ht="22" x14ac:dyDescent="0.3">
      <c r="B5" s="22"/>
      <c r="C5" s="26" t="s">
        <v>33</v>
      </c>
      <c r="D5" s="26"/>
      <c r="E5" s="28"/>
      <c r="F5" s="28"/>
      <c r="G5" s="26" t="s">
        <v>35</v>
      </c>
      <c r="H5" s="26"/>
      <c r="I5" s="45"/>
    </row>
    <row r="6" spans="2:14" ht="22" x14ac:dyDescent="0.3">
      <c r="B6" s="22"/>
      <c r="C6" s="26" t="s">
        <v>34</v>
      </c>
      <c r="D6" s="26"/>
      <c r="E6" s="28"/>
      <c r="F6" s="28"/>
      <c r="G6" s="26" t="s">
        <v>36</v>
      </c>
      <c r="H6" s="26"/>
      <c r="I6" s="45"/>
      <c r="N6" s="20"/>
    </row>
    <row r="7" spans="2:14" ht="22" x14ac:dyDescent="0.3">
      <c r="B7" s="22"/>
      <c r="C7" s="26" t="s">
        <v>59</v>
      </c>
      <c r="D7" s="26"/>
      <c r="E7" s="28"/>
      <c r="F7" s="28"/>
      <c r="G7" s="26" t="s">
        <v>37</v>
      </c>
      <c r="H7" s="26"/>
      <c r="I7" s="45"/>
    </row>
    <row r="8" spans="2:14" ht="22" x14ac:dyDescent="0.3">
      <c r="B8" s="22"/>
      <c r="C8" s="26"/>
      <c r="D8" s="26"/>
      <c r="E8" s="28"/>
      <c r="F8" s="28"/>
      <c r="G8" s="26"/>
      <c r="H8" s="26"/>
      <c r="I8" s="45"/>
    </row>
    <row r="9" spans="2:14" ht="22" x14ac:dyDescent="0.3">
      <c r="B9" s="22"/>
      <c r="C9" s="26"/>
      <c r="D9" s="26"/>
      <c r="E9" s="28"/>
      <c r="F9" s="28"/>
      <c r="G9" s="26"/>
      <c r="H9" s="26"/>
      <c r="I9" s="45"/>
    </row>
    <row r="10" spans="2:14" ht="22" x14ac:dyDescent="0.3">
      <c r="B10" s="22"/>
      <c r="C10" s="26" t="s">
        <v>30</v>
      </c>
      <c r="D10" s="26"/>
      <c r="E10" s="28"/>
      <c r="F10" s="28"/>
      <c r="G10" s="26"/>
      <c r="H10" s="26"/>
      <c r="I10" s="45"/>
      <c r="M10" s="20"/>
    </row>
    <row r="11" spans="2:14" ht="23" thickBot="1" x14ac:dyDescent="0.35">
      <c r="B11" s="22"/>
      <c r="C11" s="26" t="s">
        <v>49</v>
      </c>
      <c r="D11" s="26"/>
      <c r="E11" s="28" t="str" cm="1">
        <f t="array" aca="1" ref="E11" ca="1">INDIRECT(ADDRESS(N12,17,,,"Fairlee"))</f>
        <v>2026-05</v>
      </c>
      <c r="F11" s="28"/>
      <c r="G11" s="26"/>
      <c r="H11" s="26"/>
      <c r="I11" s="45"/>
    </row>
    <row r="12" spans="2:14" ht="25" thickBot="1" x14ac:dyDescent="0.35">
      <c r="B12" s="22"/>
      <c r="C12" s="26" t="s">
        <v>50</v>
      </c>
      <c r="D12" s="26"/>
      <c r="E12" s="27">
        <f ca="1">TODAY()</f>
        <v>46180</v>
      </c>
      <c r="F12" s="27"/>
      <c r="G12" s="26"/>
      <c r="H12" s="26"/>
      <c r="I12" s="45"/>
      <c r="M12" s="82" t="s">
        <v>76</v>
      </c>
      <c r="N12" s="83">
        <v>85</v>
      </c>
    </row>
    <row r="13" spans="2:14" ht="22" x14ac:dyDescent="0.3">
      <c r="B13" s="22"/>
      <c r="C13" s="26" t="s">
        <v>45</v>
      </c>
      <c r="D13" s="26"/>
      <c r="E13" s="27">
        <f ca="1">+E12+28</f>
        <v>46208</v>
      </c>
      <c r="F13" s="33"/>
      <c r="G13" s="26"/>
      <c r="H13" s="26"/>
      <c r="I13" s="45"/>
    </row>
    <row r="14" spans="2:14" ht="22" x14ac:dyDescent="0.3">
      <c r="B14" s="22"/>
      <c r="C14" s="26"/>
      <c r="D14" s="26"/>
      <c r="E14" s="33"/>
      <c r="F14" s="33"/>
      <c r="G14" s="26"/>
      <c r="H14" s="26"/>
      <c r="I14" s="45"/>
    </row>
    <row r="15" spans="2:14" ht="22" x14ac:dyDescent="0.3">
      <c r="B15" s="22"/>
      <c r="C15" s="26"/>
      <c r="D15" s="26"/>
      <c r="E15" s="28" t="s">
        <v>39</v>
      </c>
      <c r="F15" s="28"/>
      <c r="G15" s="28" t="s">
        <v>40</v>
      </c>
      <c r="H15" s="26"/>
      <c r="I15" s="45"/>
    </row>
    <row r="16" spans="2:14" ht="22" x14ac:dyDescent="0.3">
      <c r="B16" s="22"/>
      <c r="C16" s="26" t="s">
        <v>41</v>
      </c>
      <c r="D16" s="26"/>
      <c r="E16" s="40" cm="1">
        <f t="array" aca="1" ref="E16" ca="1">INDIRECT(ADDRESS(N12,2,,,"Fairlee"))</f>
        <v>46129</v>
      </c>
      <c r="F16" s="27"/>
      <c r="G16" s="40" cm="1">
        <f t="array" aca="1" ref="G16" ca="1">INDIRECT(ADDRESS(N12,3,,,"Fairlee"))</f>
        <v>46161</v>
      </c>
      <c r="H16" s="26"/>
      <c r="I16" s="45"/>
    </row>
    <row r="17" spans="2:9" ht="22" x14ac:dyDescent="0.3">
      <c r="B17" s="22"/>
      <c r="C17" s="26"/>
      <c r="D17" s="26"/>
      <c r="E17" s="27"/>
      <c r="F17" s="27"/>
      <c r="G17" s="40"/>
      <c r="H17" s="26"/>
      <c r="I17" s="45"/>
    </row>
    <row r="18" spans="2:9" ht="22" x14ac:dyDescent="0.3">
      <c r="B18" s="22"/>
      <c r="C18" s="26" t="s">
        <v>77</v>
      </c>
      <c r="D18" s="26"/>
      <c r="E18" s="27"/>
      <c r="F18" s="27"/>
      <c r="G18" s="80">
        <v>1250</v>
      </c>
      <c r="H18" s="28"/>
      <c r="I18" s="45"/>
    </row>
    <row r="19" spans="2:9" ht="22" x14ac:dyDescent="0.3">
      <c r="B19" s="22"/>
      <c r="C19" s="26"/>
      <c r="D19" s="26"/>
      <c r="E19" s="27"/>
      <c r="F19" s="27"/>
      <c r="G19" s="56"/>
      <c r="H19" s="56"/>
      <c r="I19" s="45"/>
    </row>
    <row r="20" spans="2:9" ht="22" x14ac:dyDescent="0.3">
      <c r="B20" s="22"/>
      <c r="C20" s="32" t="s">
        <v>52</v>
      </c>
      <c r="D20" s="32"/>
      <c r="E20" s="41"/>
      <c r="F20" s="42"/>
      <c r="G20" s="81">
        <f>+G18</f>
        <v>1250</v>
      </c>
      <c r="H20" s="26"/>
      <c r="I20" s="45"/>
    </row>
    <row r="21" spans="2:9" ht="22" x14ac:dyDescent="0.3">
      <c r="B21" s="22"/>
      <c r="C21" s="34" t="s">
        <v>48</v>
      </c>
      <c r="D21" s="26"/>
      <c r="E21" s="28"/>
      <c r="F21" s="28"/>
      <c r="G21" s="26"/>
      <c r="H21" s="26"/>
      <c r="I21" s="45"/>
    </row>
    <row r="22" spans="2:9" ht="22" x14ac:dyDescent="0.3">
      <c r="B22" s="22"/>
      <c r="C22" s="26"/>
      <c r="D22" s="26"/>
      <c r="E22" s="27"/>
      <c r="F22" s="27"/>
      <c r="G22" s="40"/>
      <c r="H22" s="26"/>
      <c r="I22" s="45"/>
    </row>
    <row r="23" spans="2:9" ht="22" x14ac:dyDescent="0.3">
      <c r="B23" s="22"/>
      <c r="C23" s="48" t="s">
        <v>51</v>
      </c>
      <c r="D23" s="48"/>
      <c r="E23" s="49"/>
      <c r="F23" s="49"/>
      <c r="G23" s="50"/>
      <c r="H23" s="26"/>
      <c r="I23" s="45"/>
    </row>
    <row r="24" spans="2:9" ht="22" x14ac:dyDescent="0.3">
      <c r="B24" s="22"/>
      <c r="C24" s="48" t="s">
        <v>42</v>
      </c>
      <c r="D24" s="48"/>
      <c r="E24" s="51"/>
      <c r="F24" s="52"/>
      <c r="G24" s="4" cm="1">
        <f t="array" aca="1" ref="G24" ca="1">INDIRECT(ADDRESS(N12,5,,,"Fairlee"))</f>
        <v>9121</v>
      </c>
      <c r="H24" s="26"/>
      <c r="I24" s="45"/>
    </row>
    <row r="25" spans="2:9" ht="22" x14ac:dyDescent="0.3">
      <c r="B25" s="22"/>
      <c r="C25" s="48" t="s">
        <v>116</v>
      </c>
      <c r="D25" s="48"/>
      <c r="E25" s="51"/>
      <c r="F25" s="53"/>
      <c r="G25" s="54" cm="1">
        <f t="array" aca="1" ref="G25" ca="1">INDIRECT(ADDRESS(N12,5,,,"Fairlee"))*INDIRECT(ADDRESS(N12,6,,,"Fairlee"))</f>
        <v>1678.08158</v>
      </c>
      <c r="H25" s="26"/>
      <c r="I25" s="45"/>
    </row>
    <row r="26" spans="2:9" ht="22" x14ac:dyDescent="0.3">
      <c r="B26" s="22"/>
      <c r="C26" s="48" t="s">
        <v>31</v>
      </c>
      <c r="D26" s="48"/>
      <c r="E26" s="51"/>
      <c r="F26" s="55"/>
      <c r="G26" s="54" cm="1">
        <f t="array" aca="1" ref="G26" ca="1">INDIRECT(ADDRESS(N12,5,,,"Fairlee"))*INDIRECT(ADDRESS(N12,7,,,"Fairlee"))</f>
        <v>364.84000000000003</v>
      </c>
      <c r="H26" s="26"/>
      <c r="I26" s="45"/>
    </row>
    <row r="27" spans="2:9" ht="22" x14ac:dyDescent="0.3">
      <c r="B27" s="22"/>
      <c r="C27" s="48" t="s">
        <v>43</v>
      </c>
      <c r="D27" s="48"/>
      <c r="E27" s="51"/>
      <c r="F27" s="54"/>
      <c r="G27" s="54" cm="1">
        <f t="array" aca="1" ref="G27" ca="1">INDIRECT(ADDRESS(N12,9,,,"Fairlee"))</f>
        <v>2042.9215800000002</v>
      </c>
      <c r="H27" s="26"/>
      <c r="I27" s="45"/>
    </row>
    <row r="28" spans="2:9" ht="22" x14ac:dyDescent="0.3">
      <c r="B28" s="22"/>
      <c r="C28" s="48" t="s">
        <v>32</v>
      </c>
      <c r="D28" s="48"/>
      <c r="E28" s="51"/>
      <c r="F28" s="55"/>
      <c r="G28" s="54" cm="1">
        <f t="array" aca="1" ref="G28" ca="1">INDIRECT(ADDRESS(N12,10,,,"Fairlee"))</f>
        <v>1838.6294220000002</v>
      </c>
      <c r="H28" s="26"/>
      <c r="I28" s="45"/>
    </row>
    <row r="29" spans="2:9" ht="22" x14ac:dyDescent="0.3">
      <c r="B29" s="22"/>
      <c r="C29" s="48" t="s">
        <v>44</v>
      </c>
      <c r="D29" s="48"/>
      <c r="E29" s="51"/>
      <c r="F29" s="54"/>
      <c r="G29" s="54" cm="1">
        <f t="array" aca="1" ref="G29" ca="1">INDIRECT(ADDRESS(N12,11,,,"Fairlee"))</f>
        <v>204.29215799999997</v>
      </c>
      <c r="H29" s="26"/>
      <c r="I29" s="45"/>
    </row>
    <row r="30" spans="2:9" ht="22" x14ac:dyDescent="0.3">
      <c r="B30" s="22"/>
      <c r="C30" s="26"/>
      <c r="D30" s="26"/>
      <c r="F30" s="29"/>
      <c r="G30" s="29"/>
      <c r="H30" s="26"/>
      <c r="I30" s="45"/>
    </row>
    <row r="31" spans="2:9" ht="22" x14ac:dyDescent="0.3">
      <c r="B31" s="22"/>
      <c r="C31" s="26"/>
      <c r="D31" s="26"/>
      <c r="E31" s="28"/>
      <c r="F31" s="28"/>
      <c r="G31" s="26"/>
      <c r="H31" s="26"/>
      <c r="I31" s="45"/>
    </row>
    <row r="32" spans="2:9" x14ac:dyDescent="0.25">
      <c r="B32" s="22"/>
      <c r="C32" s="35" t="s">
        <v>46</v>
      </c>
      <c r="D32" s="35"/>
      <c r="E32" s="36"/>
      <c r="F32" s="36"/>
      <c r="G32" s="73" cm="1">
        <f t="array" aca="1" ref="G32" ca="1">INDIRECT(ADDRESS(N12,15,,,"Fairlee"))</f>
        <v>534501</v>
      </c>
      <c r="I32" s="44"/>
    </row>
    <row r="33" spans="2:9" x14ac:dyDescent="0.25">
      <c r="B33" s="22"/>
      <c r="C33" s="35" t="s">
        <v>47</v>
      </c>
      <c r="D33" s="35"/>
      <c r="E33" s="36"/>
      <c r="F33" s="36"/>
      <c r="G33" s="37" cm="1">
        <f t="array" aca="1" ref="G33" ca="1">+INDIRECT(ADDRESS(N12,16,,,"Fairlee"))</f>
        <v>11177.468273</v>
      </c>
      <c r="I33" s="44"/>
    </row>
    <row r="34" spans="2:9" x14ac:dyDescent="0.25">
      <c r="B34" s="22"/>
      <c r="I34" s="44"/>
    </row>
    <row r="35" spans="2:9" x14ac:dyDescent="0.25">
      <c r="B35" s="22"/>
      <c r="I35" s="44"/>
    </row>
    <row r="36" spans="2:9" ht="22" thickBot="1" x14ac:dyDescent="0.3">
      <c r="B36" s="23"/>
      <c r="C36" s="46" t="s">
        <v>60</v>
      </c>
      <c r="D36" s="38"/>
      <c r="E36" s="39"/>
      <c r="F36" s="39"/>
      <c r="G36" s="38"/>
      <c r="H36" s="38"/>
      <c r="I36" s="47"/>
    </row>
  </sheetData>
  <pageMargins left="0.7" right="0.7" top="0.75" bottom="0.75" header="0.3" footer="0.3"/>
  <pageSetup scale="76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0EE4-E9F0-9D4D-BA21-82D9902AB655}">
  <sheetPr>
    <pageSetUpPr fitToPage="1"/>
  </sheetPr>
  <dimension ref="C2:L26"/>
  <sheetViews>
    <sheetView workbookViewId="0">
      <selection activeCell="K17" sqref="K17"/>
    </sheetView>
  </sheetViews>
  <sheetFormatPr baseColWidth="10" defaultRowHeight="22" x14ac:dyDescent="0.3"/>
  <cols>
    <col min="1" max="3" width="10.83203125" style="26"/>
    <col min="4" max="4" width="16.1640625" style="26" customWidth="1"/>
    <col min="5" max="5" width="12" style="26" bestFit="1" customWidth="1"/>
    <col min="6" max="11" width="17.33203125" style="58" customWidth="1"/>
    <col min="12" max="16384" width="10.83203125" style="26"/>
  </cols>
  <sheetData>
    <row r="2" spans="3:12" ht="23" thickBot="1" x14ac:dyDescent="0.35"/>
    <row r="3" spans="3:12" x14ac:dyDescent="0.3">
      <c r="C3" s="84"/>
      <c r="D3" s="85"/>
      <c r="E3" s="85"/>
      <c r="F3" s="86"/>
      <c r="G3" s="86"/>
      <c r="H3" s="86"/>
      <c r="I3" s="86"/>
      <c r="J3" s="86"/>
      <c r="K3" s="87"/>
    </row>
    <row r="4" spans="3:12" x14ac:dyDescent="0.3">
      <c r="C4" s="88" t="s">
        <v>30</v>
      </c>
      <c r="E4" s="28"/>
      <c r="K4" s="59"/>
    </row>
    <row r="5" spans="3:12" x14ac:dyDescent="0.3">
      <c r="C5" s="88" t="s">
        <v>49</v>
      </c>
      <c r="E5" s="28" t="s">
        <v>138</v>
      </c>
      <c r="K5" s="59"/>
    </row>
    <row r="6" spans="3:12" x14ac:dyDescent="0.3">
      <c r="C6" s="88" t="s">
        <v>50</v>
      </c>
      <c r="E6" s="27">
        <v>45896</v>
      </c>
      <c r="K6" s="59"/>
    </row>
    <row r="7" spans="3:12" x14ac:dyDescent="0.3">
      <c r="C7" s="88" t="s">
        <v>45</v>
      </c>
      <c r="E7" s="27">
        <f>+E6+28</f>
        <v>45924</v>
      </c>
      <c r="K7" s="59"/>
    </row>
    <row r="8" spans="3:12" x14ac:dyDescent="0.3">
      <c r="C8" s="88"/>
      <c r="K8" s="59"/>
    </row>
    <row r="9" spans="3:12" x14ac:dyDescent="0.3">
      <c r="C9" s="88" t="s">
        <v>88</v>
      </c>
      <c r="K9" s="59"/>
    </row>
    <row r="10" spans="3:12" ht="69" x14ac:dyDescent="0.3">
      <c r="C10" s="89"/>
      <c r="D10" s="90" t="s">
        <v>39</v>
      </c>
      <c r="E10" s="90" t="s">
        <v>40</v>
      </c>
      <c r="F10" s="91" t="s">
        <v>89</v>
      </c>
      <c r="G10" s="91" t="s">
        <v>90</v>
      </c>
      <c r="H10" s="91" t="s">
        <v>91</v>
      </c>
      <c r="I10" s="91" t="s">
        <v>92</v>
      </c>
      <c r="J10" s="91" t="s">
        <v>93</v>
      </c>
      <c r="K10" s="92" t="s">
        <v>94</v>
      </c>
    </row>
    <row r="11" spans="3:12" ht="23" thickBot="1" x14ac:dyDescent="0.35">
      <c r="C11" s="110" t="s">
        <v>95</v>
      </c>
      <c r="D11" s="111">
        <v>43685</v>
      </c>
      <c r="E11" s="111">
        <v>44061</v>
      </c>
      <c r="F11" s="107">
        <v>83402</v>
      </c>
      <c r="G11" s="107">
        <v>81825</v>
      </c>
      <c r="H11" s="116">
        <v>14299.16</v>
      </c>
      <c r="I11" s="112">
        <v>13117.32</v>
      </c>
      <c r="J11" s="112">
        <f>+H11-I11</f>
        <v>1181.8400000000001</v>
      </c>
      <c r="K11" s="113">
        <v>44092</v>
      </c>
      <c r="L11" s="26" t="s">
        <v>96</v>
      </c>
    </row>
    <row r="12" spans="3:12" ht="23" thickBot="1" x14ac:dyDescent="0.35">
      <c r="C12" s="93" t="s">
        <v>97</v>
      </c>
      <c r="D12" s="94">
        <v>44061</v>
      </c>
      <c r="E12" s="94">
        <v>44426</v>
      </c>
      <c r="F12" s="107">
        <v>83402</v>
      </c>
      <c r="G12" s="107">
        <v>81863</v>
      </c>
      <c r="H12" s="114">
        <v>14783.42</v>
      </c>
      <c r="I12" s="95">
        <v>13509.81</v>
      </c>
      <c r="J12" s="95">
        <f>+H12-I12</f>
        <v>1273.6100000000006</v>
      </c>
      <c r="K12" s="96">
        <v>44092</v>
      </c>
      <c r="L12" s="26" t="s">
        <v>96</v>
      </c>
    </row>
    <row r="13" spans="3:12" ht="23" thickBot="1" x14ac:dyDescent="0.35">
      <c r="C13" s="107" t="s">
        <v>99</v>
      </c>
      <c r="D13" s="108">
        <v>44426</v>
      </c>
      <c r="E13" s="108">
        <v>44791</v>
      </c>
      <c r="F13" s="107" t="s">
        <v>135</v>
      </c>
      <c r="G13" s="107" t="s">
        <v>136</v>
      </c>
      <c r="H13" s="114" t="s">
        <v>133</v>
      </c>
      <c r="I13" s="114" t="s">
        <v>132</v>
      </c>
      <c r="J13" s="114" t="s">
        <v>134</v>
      </c>
      <c r="K13" s="108">
        <v>44826</v>
      </c>
      <c r="L13" s="26" t="s">
        <v>96</v>
      </c>
    </row>
    <row r="14" spans="3:12" ht="23" thickBot="1" x14ac:dyDescent="0.35">
      <c r="C14" s="109" t="s">
        <v>101</v>
      </c>
      <c r="D14" s="94">
        <v>44791</v>
      </c>
      <c r="E14" s="94">
        <v>45155</v>
      </c>
      <c r="F14" s="109">
        <v>83402</v>
      </c>
      <c r="G14" s="109">
        <v>80496</v>
      </c>
      <c r="H14" s="114">
        <v>15258.72</v>
      </c>
      <c r="I14" s="115">
        <v>14899.18</v>
      </c>
      <c r="J14" s="115">
        <f>H14-I14</f>
        <v>359.53999999999905</v>
      </c>
      <c r="K14" s="94">
        <v>45191</v>
      </c>
      <c r="L14" s="26" t="s">
        <v>96</v>
      </c>
    </row>
    <row r="15" spans="3:12" ht="23" thickBot="1" x14ac:dyDescent="0.35">
      <c r="C15" s="109" t="s">
        <v>118</v>
      </c>
      <c r="D15" s="94">
        <v>45155</v>
      </c>
      <c r="E15" s="94">
        <v>45523</v>
      </c>
      <c r="F15" s="109">
        <v>83402</v>
      </c>
      <c r="G15" s="109">
        <v>79152</v>
      </c>
      <c r="H15" s="114">
        <v>15155.54</v>
      </c>
      <c r="I15" s="115">
        <v>15000</v>
      </c>
      <c r="J15" s="115">
        <f>H15-I15</f>
        <v>155.54000000000087</v>
      </c>
      <c r="K15" s="94">
        <v>45555</v>
      </c>
      <c r="L15" s="26" t="s">
        <v>96</v>
      </c>
    </row>
    <row r="16" spans="3:12" ht="23" thickBot="1" x14ac:dyDescent="0.35">
      <c r="C16" s="109" t="s">
        <v>131</v>
      </c>
      <c r="D16" s="94">
        <v>45523</v>
      </c>
      <c r="E16" s="94">
        <v>45884</v>
      </c>
      <c r="F16" s="109">
        <v>83402</v>
      </c>
      <c r="G16" s="109">
        <v>75037</v>
      </c>
      <c r="H16" s="114">
        <v>15126.11</v>
      </c>
      <c r="I16" s="115">
        <v>15000</v>
      </c>
      <c r="J16" s="115">
        <v>126.11</v>
      </c>
      <c r="K16" s="94">
        <v>45940</v>
      </c>
      <c r="L16" s="26" t="s">
        <v>96</v>
      </c>
    </row>
    <row r="17" spans="3:12" x14ac:dyDescent="0.3">
      <c r="C17" s="88"/>
      <c r="J17" s="102"/>
      <c r="K17" s="59"/>
    </row>
    <row r="18" spans="3:12" x14ac:dyDescent="0.3">
      <c r="C18" s="88"/>
      <c r="K18" s="59"/>
    </row>
    <row r="19" spans="3:12" x14ac:dyDescent="0.3">
      <c r="C19" s="88"/>
      <c r="H19" s="57"/>
      <c r="K19" s="59"/>
    </row>
    <row r="20" spans="3:12" x14ac:dyDescent="0.3">
      <c r="C20" s="97" t="s">
        <v>48</v>
      </c>
      <c r="K20" s="59"/>
      <c r="L20" s="26" t="s">
        <v>29</v>
      </c>
    </row>
    <row r="21" spans="3:12" x14ac:dyDescent="0.3">
      <c r="C21" s="88"/>
      <c r="K21" s="59"/>
    </row>
    <row r="22" spans="3:12" ht="23" thickBot="1" x14ac:dyDescent="0.35">
      <c r="C22" s="98" t="s">
        <v>98</v>
      </c>
      <c r="D22" s="99"/>
      <c r="E22" s="99"/>
      <c r="F22" s="100"/>
      <c r="G22" s="100"/>
      <c r="H22" s="100"/>
      <c r="I22" s="100"/>
      <c r="J22" s="100"/>
      <c r="K22" s="101"/>
    </row>
    <row r="26" spans="3:12" x14ac:dyDescent="0.3">
      <c r="K26" s="58">
        <f>1250+155.54</f>
        <v>1405.54</v>
      </c>
    </row>
  </sheetData>
  <pageMargins left="0.7" right="0.7" top="0.75" bottom="0.75" header="0.3" footer="0.3"/>
  <pageSetup scale="51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601E-B4A9-E744-9BC4-D593D34BF8D1}">
  <dimension ref="C65:F135"/>
  <sheetViews>
    <sheetView topLeftCell="D111" workbookViewId="0">
      <selection activeCell="F140" sqref="F140"/>
    </sheetView>
  </sheetViews>
  <sheetFormatPr baseColWidth="10" defaultRowHeight="15" x14ac:dyDescent="0.2"/>
  <cols>
    <col min="5" max="5" width="12.1640625" bestFit="1" customWidth="1"/>
  </cols>
  <sheetData>
    <row r="65" spans="3:6" x14ac:dyDescent="0.2">
      <c r="C65" s="15">
        <v>15480</v>
      </c>
    </row>
    <row r="66" spans="3:6" x14ac:dyDescent="0.2">
      <c r="C66" s="15">
        <v>9720</v>
      </c>
    </row>
    <row r="67" spans="3:6" x14ac:dyDescent="0.2">
      <c r="C67" s="15">
        <v>8640</v>
      </c>
    </row>
    <row r="68" spans="3:6" x14ac:dyDescent="0.2">
      <c r="C68" s="15">
        <v>11700</v>
      </c>
    </row>
    <row r="69" spans="3:6" x14ac:dyDescent="0.2">
      <c r="C69" s="15">
        <v>22500</v>
      </c>
    </row>
    <row r="70" spans="3:6" x14ac:dyDescent="0.2">
      <c r="C70" s="15">
        <v>20880</v>
      </c>
    </row>
    <row r="71" spans="3:6" x14ac:dyDescent="0.2">
      <c r="C71" s="15">
        <v>26640</v>
      </c>
    </row>
    <row r="72" spans="3:6" x14ac:dyDescent="0.2">
      <c r="C72" s="15">
        <v>29700</v>
      </c>
    </row>
    <row r="73" spans="3:6" x14ac:dyDescent="0.2">
      <c r="C73" s="15">
        <v>28800</v>
      </c>
    </row>
    <row r="74" spans="3:6" ht="16" thickBot="1" x14ac:dyDescent="0.25">
      <c r="C74" s="68">
        <v>30240</v>
      </c>
    </row>
    <row r="75" spans="3:6" x14ac:dyDescent="0.2">
      <c r="C75" s="15">
        <v>27000</v>
      </c>
    </row>
    <row r="76" spans="3:6" x14ac:dyDescent="0.2">
      <c r="C76" s="15">
        <v>25740</v>
      </c>
      <c r="D76">
        <f>+SUM(C65:C76)</f>
        <v>257040</v>
      </c>
      <c r="E76" s="117">
        <f>+D76-AVERAGE(D$76:D$134)</f>
        <v>18132.474576271197</v>
      </c>
      <c r="F76" s="118">
        <f>+E76/AVERAGE(D$76:D$134)</f>
        <v>7.589746092807774E-2</v>
      </c>
    </row>
    <row r="77" spans="3:6" x14ac:dyDescent="0.2">
      <c r="C77" s="15">
        <v>14400</v>
      </c>
      <c r="D77">
        <f t="shared" ref="D77:D134" si="0">+SUM(C66:C77)</f>
        <v>255960</v>
      </c>
      <c r="E77" s="117">
        <f t="shared" ref="E77:E133" si="1">+D77-AVERAGE(D$76:D$134)</f>
        <v>17052.474576271197</v>
      </c>
      <c r="F77" s="118">
        <f t="shared" ref="F77:F133" si="2">+E77/AVERAGE(D$76:D$134)</f>
        <v>7.1376883361153054E-2</v>
      </c>
    </row>
    <row r="78" spans="3:6" x14ac:dyDescent="0.2">
      <c r="C78" s="15">
        <v>8100</v>
      </c>
      <c r="D78">
        <f t="shared" si="0"/>
        <v>254340</v>
      </c>
      <c r="E78" s="117">
        <f t="shared" si="1"/>
        <v>15432.474576271197</v>
      </c>
      <c r="F78" s="118">
        <f t="shared" si="2"/>
        <v>6.4596017010766005E-2</v>
      </c>
    </row>
    <row r="79" spans="3:6" x14ac:dyDescent="0.2">
      <c r="C79" s="15">
        <v>8820</v>
      </c>
      <c r="D79">
        <f t="shared" si="0"/>
        <v>254520</v>
      </c>
      <c r="E79" s="117">
        <f t="shared" si="1"/>
        <v>15612.474576271197</v>
      </c>
      <c r="F79" s="118">
        <f t="shared" si="2"/>
        <v>6.534944660525345E-2</v>
      </c>
    </row>
    <row r="80" spans="3:6" x14ac:dyDescent="0.2">
      <c r="C80" s="1">
        <v>11700</v>
      </c>
      <c r="D80">
        <f t="shared" si="0"/>
        <v>254520</v>
      </c>
      <c r="E80" s="117">
        <f t="shared" si="1"/>
        <v>15612.474576271197</v>
      </c>
      <c r="F80" s="118">
        <f t="shared" si="2"/>
        <v>6.534944660525345E-2</v>
      </c>
    </row>
    <row r="81" spans="3:6" x14ac:dyDescent="0.2">
      <c r="C81" s="1">
        <v>20700</v>
      </c>
      <c r="D81">
        <f t="shared" si="0"/>
        <v>252720</v>
      </c>
      <c r="E81" s="117">
        <f t="shared" si="1"/>
        <v>13812.474576271197</v>
      </c>
      <c r="F81" s="118">
        <f t="shared" si="2"/>
        <v>5.7815150660378962E-2</v>
      </c>
    </row>
    <row r="82" spans="3:6" x14ac:dyDescent="0.2">
      <c r="C82" s="1">
        <v>25142</v>
      </c>
      <c r="D82">
        <f t="shared" si="0"/>
        <v>256982</v>
      </c>
      <c r="E82" s="117">
        <f t="shared" si="1"/>
        <v>18074.474576271197</v>
      </c>
      <c r="F82" s="118">
        <f t="shared" si="2"/>
        <v>7.5654689169854017E-2</v>
      </c>
    </row>
    <row r="83" spans="3:6" x14ac:dyDescent="0.2">
      <c r="C83" s="1">
        <v>21475</v>
      </c>
      <c r="D83">
        <f t="shared" si="0"/>
        <v>251817</v>
      </c>
      <c r="E83" s="117">
        <f t="shared" si="1"/>
        <v>12909.474576271197</v>
      </c>
      <c r="F83" s="118">
        <f t="shared" si="2"/>
        <v>5.403544552803359E-2</v>
      </c>
    </row>
    <row r="84" spans="3:6" x14ac:dyDescent="0.2">
      <c r="C84" s="1">
        <v>26888</v>
      </c>
      <c r="D84">
        <f t="shared" si="0"/>
        <v>249005</v>
      </c>
      <c r="E84" s="117">
        <f t="shared" si="1"/>
        <v>10097.474576271197</v>
      </c>
      <c r="F84" s="118">
        <f t="shared" si="2"/>
        <v>4.226520097415188E-2</v>
      </c>
    </row>
    <row r="85" spans="3:6" x14ac:dyDescent="0.2">
      <c r="C85" s="1">
        <v>24095</v>
      </c>
      <c r="D85">
        <f t="shared" si="0"/>
        <v>244300</v>
      </c>
      <c r="E85" s="117">
        <f t="shared" si="1"/>
        <v>5392.4745762711973</v>
      </c>
      <c r="F85" s="118">
        <f t="shared" si="2"/>
        <v>2.2571388518243828E-2</v>
      </c>
    </row>
    <row r="86" spans="3:6" x14ac:dyDescent="0.2">
      <c r="C86" s="1">
        <v>26713</v>
      </c>
      <c r="D86">
        <f t="shared" si="0"/>
        <v>240773</v>
      </c>
      <c r="E86" s="117">
        <f t="shared" si="1"/>
        <v>1865.4745762711973</v>
      </c>
      <c r="F86" s="118">
        <f t="shared" si="2"/>
        <v>7.808354186259193E-3</v>
      </c>
    </row>
    <row r="87" spans="3:6" x14ac:dyDescent="0.2">
      <c r="C87" s="1">
        <v>21825</v>
      </c>
      <c r="D87">
        <f t="shared" si="0"/>
        <v>235598</v>
      </c>
      <c r="E87" s="117">
        <f t="shared" si="1"/>
        <v>-3309.5254237288027</v>
      </c>
      <c r="F87" s="118">
        <f t="shared" si="2"/>
        <v>-1.3852746655254978E-2</v>
      </c>
    </row>
    <row r="88" spans="3:6" x14ac:dyDescent="0.2">
      <c r="C88" s="1">
        <v>17460</v>
      </c>
      <c r="D88">
        <f t="shared" si="0"/>
        <v>227318</v>
      </c>
      <c r="E88" s="117">
        <f t="shared" si="1"/>
        <v>-11589.525423728803</v>
      </c>
      <c r="F88" s="118">
        <f t="shared" si="2"/>
        <v>-4.8510508001677652E-2</v>
      </c>
    </row>
    <row r="89" spans="3:6" x14ac:dyDescent="0.2">
      <c r="C89" s="1">
        <v>17285</v>
      </c>
      <c r="D89">
        <f t="shared" si="0"/>
        <v>230203</v>
      </c>
      <c r="E89" s="117">
        <f t="shared" si="1"/>
        <v>-8704.5254237288027</v>
      </c>
      <c r="F89" s="118">
        <f t="shared" si="2"/>
        <v>-3.6434705890031588E-2</v>
      </c>
    </row>
    <row r="90" spans="3:6" x14ac:dyDescent="0.2">
      <c r="C90" s="1">
        <v>11872</v>
      </c>
      <c r="D90">
        <f t="shared" si="0"/>
        <v>233975</v>
      </c>
      <c r="E90" s="117">
        <f t="shared" si="1"/>
        <v>-4932.5254237288027</v>
      </c>
      <c r="F90" s="118">
        <f t="shared" si="2"/>
        <v>-2.0646170165550145E-2</v>
      </c>
    </row>
    <row r="91" spans="3:6" x14ac:dyDescent="0.2">
      <c r="C91" s="1">
        <v>7857</v>
      </c>
      <c r="D91">
        <f t="shared" si="0"/>
        <v>233012</v>
      </c>
      <c r="E91" s="117">
        <f t="shared" si="1"/>
        <v>-5895.5254237288027</v>
      </c>
      <c r="F91" s="118">
        <f t="shared" si="2"/>
        <v>-2.4677018496058002E-2</v>
      </c>
    </row>
    <row r="92" spans="3:6" x14ac:dyDescent="0.2">
      <c r="C92" s="1">
        <v>15714</v>
      </c>
      <c r="D92">
        <f t="shared" si="0"/>
        <v>237026</v>
      </c>
      <c r="E92" s="117">
        <f t="shared" si="1"/>
        <v>-1881.5254237288027</v>
      </c>
      <c r="F92" s="118">
        <f t="shared" si="2"/>
        <v>-7.8755385389878783E-3</v>
      </c>
    </row>
    <row r="93" spans="3:6" x14ac:dyDescent="0.2">
      <c r="C93" s="1">
        <v>15889</v>
      </c>
      <c r="D93">
        <f t="shared" si="0"/>
        <v>232215</v>
      </c>
      <c r="E93" s="117">
        <f t="shared" si="1"/>
        <v>-6692.5254237288027</v>
      </c>
      <c r="F93" s="118">
        <f t="shared" si="2"/>
        <v>-2.8013037311649652E-2</v>
      </c>
    </row>
    <row r="94" spans="3:6" x14ac:dyDescent="0.2">
      <c r="C94" s="1">
        <v>22523</v>
      </c>
      <c r="D94">
        <f t="shared" si="0"/>
        <v>229596</v>
      </c>
      <c r="E94" s="117">
        <f t="shared" si="1"/>
        <v>-9311.5254237288027</v>
      </c>
      <c r="F94" s="118">
        <f t="shared" si="2"/>
        <v>-3.8975437911442042E-2</v>
      </c>
    </row>
    <row r="95" spans="3:6" x14ac:dyDescent="0.2">
      <c r="C95" s="1">
        <v>25492</v>
      </c>
      <c r="D95">
        <f t="shared" si="0"/>
        <v>233613</v>
      </c>
      <c r="E95" s="117">
        <f t="shared" si="1"/>
        <v>-5294.5254237288027</v>
      </c>
      <c r="F95" s="118">
        <f t="shared" si="2"/>
        <v>-2.2161400794463795E-2</v>
      </c>
    </row>
    <row r="96" spans="3:6" x14ac:dyDescent="0.2">
      <c r="C96" s="1">
        <v>27586</v>
      </c>
      <c r="D96">
        <f t="shared" si="0"/>
        <v>234311</v>
      </c>
      <c r="E96" s="117">
        <f t="shared" si="1"/>
        <v>-4596.5254237288027</v>
      </c>
      <c r="F96" s="118">
        <f t="shared" si="2"/>
        <v>-1.9239768255840242E-2</v>
      </c>
    </row>
    <row r="97" spans="3:6" x14ac:dyDescent="0.2">
      <c r="C97" s="1">
        <v>30206</v>
      </c>
      <c r="D97">
        <f t="shared" si="0"/>
        <v>240422</v>
      </c>
      <c r="E97" s="117">
        <f t="shared" si="1"/>
        <v>1514.4745762711973</v>
      </c>
      <c r="F97" s="118">
        <f t="shared" si="2"/>
        <v>6.3391664770086663E-3</v>
      </c>
    </row>
    <row r="98" spans="3:6" x14ac:dyDescent="0.2">
      <c r="C98" s="1">
        <v>27761</v>
      </c>
      <c r="D98">
        <f t="shared" si="0"/>
        <v>241470</v>
      </c>
      <c r="E98" s="117">
        <f t="shared" si="1"/>
        <v>2562.4745762711973</v>
      </c>
      <c r="F98" s="118">
        <f t="shared" si="2"/>
        <v>1.0725801004913372E-2</v>
      </c>
    </row>
    <row r="99" spans="3:6" x14ac:dyDescent="0.2">
      <c r="C99" s="1">
        <v>25666</v>
      </c>
      <c r="D99">
        <f t="shared" si="0"/>
        <v>245311</v>
      </c>
      <c r="E99" s="117">
        <f t="shared" si="1"/>
        <v>6403.4745762711973</v>
      </c>
      <c r="F99" s="118">
        <f t="shared" si="2"/>
        <v>2.6803151407281667E-2</v>
      </c>
    </row>
    <row r="100" spans="3:6" x14ac:dyDescent="0.2">
      <c r="C100" s="1">
        <v>18333</v>
      </c>
      <c r="D100">
        <f t="shared" si="0"/>
        <v>246184</v>
      </c>
      <c r="E100" s="117">
        <f t="shared" si="1"/>
        <v>7276.4745762711973</v>
      </c>
      <c r="F100" s="118">
        <f t="shared" si="2"/>
        <v>3.0457284940545795E-2</v>
      </c>
    </row>
    <row r="101" spans="3:6" x14ac:dyDescent="0.2">
      <c r="C101" s="1">
        <v>19904</v>
      </c>
      <c r="D101">
        <f t="shared" si="0"/>
        <v>248803</v>
      </c>
      <c r="E101" s="117">
        <f t="shared" si="1"/>
        <v>9895.4745762711973</v>
      </c>
      <c r="F101" s="118">
        <f t="shared" si="2"/>
        <v>4.1419685540338189E-2</v>
      </c>
    </row>
    <row r="102" spans="3:6" x14ac:dyDescent="0.2">
      <c r="C102" s="1">
        <v>12397</v>
      </c>
      <c r="D102">
        <f t="shared" si="0"/>
        <v>249328</v>
      </c>
      <c r="E102" s="117">
        <f t="shared" si="1"/>
        <v>10420.474576271197</v>
      </c>
      <c r="F102" s="118">
        <f t="shared" si="2"/>
        <v>4.3617188524259914E-2</v>
      </c>
    </row>
    <row r="103" spans="3:6" x14ac:dyDescent="0.2">
      <c r="C103" s="1">
        <v>9777</v>
      </c>
      <c r="D103">
        <f t="shared" si="0"/>
        <v>251248</v>
      </c>
      <c r="E103" s="117">
        <f t="shared" si="1"/>
        <v>12340.474576271197</v>
      </c>
      <c r="F103" s="118">
        <f t="shared" si="2"/>
        <v>5.1653770865459372E-2</v>
      </c>
    </row>
    <row r="104" spans="3:6" x14ac:dyDescent="0.2">
      <c r="C104" s="1">
        <v>13270</v>
      </c>
      <c r="D104">
        <f t="shared" si="0"/>
        <v>248804</v>
      </c>
      <c r="E104" s="117">
        <f t="shared" si="1"/>
        <v>9896.4745762711973</v>
      </c>
      <c r="F104" s="118">
        <f t="shared" si="2"/>
        <v>4.1423871260307561E-2</v>
      </c>
    </row>
    <row r="105" spans="3:6" x14ac:dyDescent="0.2">
      <c r="C105" s="1">
        <v>12571</v>
      </c>
      <c r="D105">
        <f t="shared" si="0"/>
        <v>245486</v>
      </c>
      <c r="E105" s="117">
        <f t="shared" si="1"/>
        <v>6578.4745762711973</v>
      </c>
      <c r="F105" s="118">
        <f t="shared" si="2"/>
        <v>2.7535652401922243E-2</v>
      </c>
    </row>
    <row r="106" spans="3:6" x14ac:dyDescent="0.2">
      <c r="C106" s="1">
        <v>25492</v>
      </c>
      <c r="D106">
        <f t="shared" si="0"/>
        <v>248455</v>
      </c>
      <c r="E106" s="117">
        <f t="shared" si="1"/>
        <v>9547.4745762711973</v>
      </c>
      <c r="F106" s="118">
        <f t="shared" si="2"/>
        <v>3.9963054990995783E-2</v>
      </c>
    </row>
    <row r="107" spans="3:6" x14ac:dyDescent="0.2">
      <c r="C107" s="1">
        <v>24967</v>
      </c>
      <c r="D107">
        <f t="shared" si="0"/>
        <v>247930</v>
      </c>
      <c r="E107" s="117">
        <f t="shared" si="1"/>
        <v>9022.4745762711973</v>
      </c>
      <c r="F107" s="118">
        <f t="shared" si="2"/>
        <v>3.7765552007074057E-2</v>
      </c>
    </row>
    <row r="108" spans="3:6" x14ac:dyDescent="0.2">
      <c r="C108" s="1">
        <v>27587</v>
      </c>
      <c r="D108">
        <f t="shared" si="0"/>
        <v>247931</v>
      </c>
      <c r="E108" s="117">
        <f t="shared" si="1"/>
        <v>9023.4745762711973</v>
      </c>
      <c r="F108" s="118">
        <f t="shared" si="2"/>
        <v>3.776973772704343E-2</v>
      </c>
    </row>
    <row r="109" spans="3:6" x14ac:dyDescent="0.2">
      <c r="C109" s="1">
        <v>23047</v>
      </c>
      <c r="D109">
        <f t="shared" si="0"/>
        <v>240772</v>
      </c>
      <c r="E109" s="117">
        <f t="shared" si="1"/>
        <v>1864.4745762711973</v>
      </c>
      <c r="F109" s="118">
        <f t="shared" si="2"/>
        <v>7.8041684662898177E-3</v>
      </c>
    </row>
    <row r="110" spans="3:6" x14ac:dyDescent="0.2">
      <c r="C110" s="1">
        <v>23745</v>
      </c>
      <c r="D110">
        <f t="shared" si="0"/>
        <v>236756</v>
      </c>
      <c r="E110" s="117">
        <f t="shared" si="1"/>
        <v>-2151.5254237288027</v>
      </c>
      <c r="F110" s="118">
        <f t="shared" si="2"/>
        <v>-9.0056829307190531E-3</v>
      </c>
    </row>
    <row r="111" spans="3:6" x14ac:dyDescent="0.2">
      <c r="C111" s="1">
        <v>24968</v>
      </c>
      <c r="D111">
        <f t="shared" si="0"/>
        <v>236058</v>
      </c>
      <c r="E111" s="117">
        <f t="shared" si="1"/>
        <v>-2849.5254237288027</v>
      </c>
      <c r="F111" s="118">
        <f t="shared" si="2"/>
        <v>-1.1927315469342607E-2</v>
      </c>
    </row>
    <row r="112" spans="3:6" x14ac:dyDescent="0.2">
      <c r="C112" s="1">
        <v>17883</v>
      </c>
      <c r="D112">
        <f t="shared" si="0"/>
        <v>235608</v>
      </c>
      <c r="E112" s="117">
        <f t="shared" si="1"/>
        <v>-3299.5254237288027</v>
      </c>
      <c r="F112" s="118">
        <f t="shared" si="2"/>
        <v>-1.3810889455561231E-2</v>
      </c>
    </row>
    <row r="113" spans="3:6" x14ac:dyDescent="0.2">
      <c r="C113" s="1">
        <v>13270</v>
      </c>
      <c r="D113">
        <f t="shared" si="0"/>
        <v>228974</v>
      </c>
      <c r="E113" s="117">
        <f t="shared" si="1"/>
        <v>-9933.5254237288027</v>
      </c>
      <c r="F113" s="118">
        <f t="shared" si="2"/>
        <v>-4.1578955732393112E-2</v>
      </c>
    </row>
    <row r="114" spans="3:6" x14ac:dyDescent="0.2">
      <c r="C114" s="1">
        <v>13078</v>
      </c>
      <c r="D114">
        <f t="shared" si="0"/>
        <v>229655</v>
      </c>
      <c r="E114" s="117">
        <f t="shared" si="1"/>
        <v>-9252.5254237288027</v>
      </c>
      <c r="F114" s="118">
        <f t="shared" si="2"/>
        <v>-3.8728480433248932E-2</v>
      </c>
    </row>
    <row r="115" spans="3:6" x14ac:dyDescent="0.2">
      <c r="C115" s="1">
        <v>8730</v>
      </c>
      <c r="D115">
        <f t="shared" si="0"/>
        <v>228608</v>
      </c>
      <c r="E115" s="117">
        <f t="shared" si="1"/>
        <v>-10299.525423728803</v>
      </c>
      <c r="F115" s="118">
        <f t="shared" si="2"/>
        <v>-4.3110929241184259E-2</v>
      </c>
    </row>
    <row r="116" spans="3:6" x14ac:dyDescent="0.2">
      <c r="C116" s="105">
        <v>10999</v>
      </c>
      <c r="D116">
        <f t="shared" si="0"/>
        <v>226337</v>
      </c>
      <c r="E116" s="117">
        <f t="shared" si="1"/>
        <v>-12570.525423728803</v>
      </c>
      <c r="F116" s="118">
        <f t="shared" si="2"/>
        <v>-5.2616699291634247E-2</v>
      </c>
    </row>
    <row r="117" spans="3:6" x14ac:dyDescent="0.2">
      <c r="C117" s="1">
        <v>20602</v>
      </c>
      <c r="D117">
        <f t="shared" si="0"/>
        <v>234368</v>
      </c>
      <c r="E117" s="117">
        <f t="shared" si="1"/>
        <v>-4539.5254237288027</v>
      </c>
      <c r="F117" s="118">
        <f t="shared" si="2"/>
        <v>-1.9001182217585882E-2</v>
      </c>
    </row>
    <row r="118" spans="3:6" x14ac:dyDescent="0.2">
      <c r="C118" s="1">
        <v>20079</v>
      </c>
      <c r="D118">
        <f t="shared" si="0"/>
        <v>228955</v>
      </c>
      <c r="E118" s="117">
        <f t="shared" si="1"/>
        <v>-9952.5254237288027</v>
      </c>
      <c r="F118" s="118">
        <f t="shared" si="2"/>
        <v>-4.1658484411811234E-2</v>
      </c>
    </row>
    <row r="119" spans="3:6" x14ac:dyDescent="0.2">
      <c r="C119" s="1">
        <v>24619</v>
      </c>
      <c r="D119">
        <f t="shared" si="0"/>
        <v>228607</v>
      </c>
      <c r="E119" s="117">
        <f t="shared" si="1"/>
        <v>-10300.525423728803</v>
      </c>
      <c r="F119" s="118">
        <f t="shared" si="2"/>
        <v>-4.3115114961153639E-2</v>
      </c>
    </row>
    <row r="120" spans="3:6" x14ac:dyDescent="0.2">
      <c r="C120" s="1">
        <v>27586</v>
      </c>
      <c r="D120">
        <f t="shared" si="0"/>
        <v>228606</v>
      </c>
      <c r="E120" s="117">
        <f t="shared" si="1"/>
        <v>-10301.525423728803</v>
      </c>
      <c r="F120" s="118">
        <f t="shared" si="2"/>
        <v>-4.3119300681123011E-2</v>
      </c>
    </row>
    <row r="121" spans="3:6" x14ac:dyDescent="0.2">
      <c r="C121" s="1">
        <v>26190</v>
      </c>
      <c r="D121">
        <f t="shared" si="0"/>
        <v>231749</v>
      </c>
      <c r="E121" s="117">
        <f t="shared" si="1"/>
        <v>-7158.5254237288027</v>
      </c>
      <c r="F121" s="118">
        <f t="shared" si="2"/>
        <v>-2.9963582817378272E-2</v>
      </c>
    </row>
    <row r="122" spans="3:6" x14ac:dyDescent="0.2">
      <c r="C122" s="1">
        <v>24793</v>
      </c>
      <c r="D122">
        <f t="shared" si="0"/>
        <v>232797</v>
      </c>
      <c r="E122" s="117">
        <f t="shared" si="1"/>
        <v>-6110.5254237288027</v>
      </c>
      <c r="F122" s="118">
        <f t="shared" si="2"/>
        <v>-2.5576948289473565E-2</v>
      </c>
    </row>
    <row r="123" spans="3:6" x14ac:dyDescent="0.2">
      <c r="C123" s="1">
        <v>27586</v>
      </c>
      <c r="D123">
        <f t="shared" si="0"/>
        <v>235415</v>
      </c>
      <c r="E123" s="117">
        <f t="shared" si="1"/>
        <v>-3492.5254237288027</v>
      </c>
      <c r="F123" s="118">
        <f t="shared" si="2"/>
        <v>-1.4618733409650551E-2</v>
      </c>
    </row>
    <row r="124" spans="3:6" x14ac:dyDescent="0.2">
      <c r="C124" s="1">
        <v>19206</v>
      </c>
      <c r="D124">
        <f t="shared" si="0"/>
        <v>236738</v>
      </c>
      <c r="E124" s="117">
        <f t="shared" si="1"/>
        <v>-2169.5254237288027</v>
      </c>
      <c r="F124" s="118">
        <f t="shared" si="2"/>
        <v>-9.0810258901677984E-3</v>
      </c>
    </row>
    <row r="125" spans="3:6" x14ac:dyDescent="0.2">
      <c r="C125" s="1">
        <v>20428</v>
      </c>
      <c r="D125">
        <f t="shared" si="0"/>
        <v>243896</v>
      </c>
      <c r="E125" s="117">
        <f t="shared" si="1"/>
        <v>4988.4745762711973</v>
      </c>
      <c r="F125" s="118">
        <f t="shared" si="2"/>
        <v>2.0880357650616441E-2</v>
      </c>
    </row>
    <row r="126" spans="3:6" x14ac:dyDescent="0.2">
      <c r="C126" s="1">
        <v>8206</v>
      </c>
      <c r="D126">
        <f t="shared" si="0"/>
        <v>239024</v>
      </c>
      <c r="E126" s="117">
        <f t="shared" si="1"/>
        <v>116.47457627119729</v>
      </c>
      <c r="F126" s="118">
        <f t="shared" si="2"/>
        <v>4.8752995982280929E-4</v>
      </c>
    </row>
    <row r="127" spans="3:6" x14ac:dyDescent="0.2">
      <c r="C127" s="1">
        <v>8555</v>
      </c>
      <c r="D127">
        <f t="shared" si="0"/>
        <v>238849</v>
      </c>
      <c r="E127" s="117">
        <f t="shared" si="1"/>
        <v>-58.525423728802707</v>
      </c>
      <c r="F127" s="118">
        <f t="shared" si="2"/>
        <v>-2.4497103481776653E-4</v>
      </c>
    </row>
    <row r="128" spans="3:6" x14ac:dyDescent="0.2">
      <c r="C128" s="1">
        <v>9079</v>
      </c>
      <c r="D128">
        <f t="shared" si="0"/>
        <v>236929</v>
      </c>
      <c r="E128" s="117">
        <f t="shared" si="1"/>
        <v>-1978.5254237288027</v>
      </c>
      <c r="F128" s="118">
        <f t="shared" si="2"/>
        <v>-8.2815533760172266E-3</v>
      </c>
    </row>
    <row r="129" spans="3:6" x14ac:dyDescent="0.2">
      <c r="C129" s="1">
        <v>18682</v>
      </c>
      <c r="D129">
        <f t="shared" si="0"/>
        <v>235009</v>
      </c>
      <c r="E129" s="117">
        <f t="shared" si="1"/>
        <v>-3898.5254237288027</v>
      </c>
      <c r="F129" s="118">
        <f t="shared" si="2"/>
        <v>-1.6318135717216686E-2</v>
      </c>
    </row>
    <row r="130" spans="3:6" x14ac:dyDescent="0.2">
      <c r="C130" s="1">
        <v>16587</v>
      </c>
      <c r="D130">
        <f t="shared" si="0"/>
        <v>231517</v>
      </c>
      <c r="E130" s="117">
        <f t="shared" si="1"/>
        <v>-7390.5254237288027</v>
      </c>
      <c r="F130" s="118">
        <f t="shared" si="2"/>
        <v>-3.0934669850273204E-2</v>
      </c>
    </row>
    <row r="131" spans="3:6" x14ac:dyDescent="0.2">
      <c r="C131" s="1">
        <v>21127</v>
      </c>
      <c r="D131">
        <f t="shared" si="0"/>
        <v>228025</v>
      </c>
      <c r="E131" s="117">
        <f t="shared" si="1"/>
        <v>-10882.525423728803</v>
      </c>
      <c r="F131" s="118">
        <f t="shared" si="2"/>
        <v>-4.5551203983329722E-2</v>
      </c>
    </row>
    <row r="132" spans="3:6" x14ac:dyDescent="0.2">
      <c r="C132" s="1">
        <v>21475</v>
      </c>
      <c r="D132">
        <f t="shared" si="0"/>
        <v>221914</v>
      </c>
      <c r="E132" s="117">
        <f t="shared" si="1"/>
        <v>-16993.525423728803</v>
      </c>
      <c r="F132" s="118">
        <f t="shared" si="2"/>
        <v>-7.1130138716178626E-2</v>
      </c>
    </row>
    <row r="133" spans="3:6" x14ac:dyDescent="0.2">
      <c r="C133" s="1">
        <v>23746</v>
      </c>
      <c r="D133">
        <f t="shared" si="0"/>
        <v>219470</v>
      </c>
      <c r="E133" s="117">
        <f t="shared" si="1"/>
        <v>-19437.525423728803</v>
      </c>
      <c r="F133" s="118">
        <f t="shared" si="2"/>
        <v>-8.1360038321330444E-2</v>
      </c>
    </row>
    <row r="134" spans="3:6" x14ac:dyDescent="0.2">
      <c r="C134" s="1">
        <v>26015</v>
      </c>
      <c r="D134">
        <f t="shared" si="0"/>
        <v>220692</v>
      </c>
      <c r="E134" s="117">
        <f>+D134-AVERAGE(D$76:D$134)</f>
        <v>-18215.525423728803</v>
      </c>
      <c r="F134" s="118">
        <f>+E134/AVERAGE(D$76:D$134)</f>
        <v>-7.6245088518754542E-2</v>
      </c>
    </row>
    <row r="135" spans="3:6" x14ac:dyDescent="0.2">
      <c r="D135">
        <v>218946</v>
      </c>
      <c r="E135" s="117">
        <f>+D135-AVERAGE(D$76:D$134)</f>
        <v>-19961.525423728803</v>
      </c>
      <c r="F135" s="118">
        <f>+E135/AVERAGE(D$76:D$134)</f>
        <v>-8.355335558528279E-2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Fairlee</vt:lpstr>
      <vt:lpstr>Fairlee Template - new</vt:lpstr>
      <vt:lpstr>Fairlee Annual True Up</vt:lpstr>
      <vt:lpstr>TTM Trendline</vt:lpstr>
      <vt:lpstr>Fairlee!Print_Area</vt:lpstr>
      <vt:lpstr>'Fairlee Annual True Up'!Print_Area</vt:lpstr>
      <vt:lpstr>'Fairlee Template - new'!Print_Area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Malley</dc:creator>
  <cp:lastModifiedBy>Paul Bozuwa</cp:lastModifiedBy>
  <cp:lastPrinted>2026-05-30T22:07:57Z</cp:lastPrinted>
  <dcterms:created xsi:type="dcterms:W3CDTF">2018-03-01T17:41:44Z</dcterms:created>
  <dcterms:modified xsi:type="dcterms:W3CDTF">2026-06-07T17:35:23Z</dcterms:modified>
</cp:coreProperties>
</file>