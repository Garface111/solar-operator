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 Summary" sheetId="1" state="visible" r:id="rId1"/>
    <sheet name="Costs to Date" sheetId="2" state="visible" r:id="rId2"/>
    <sheet name="Use of Funds" sheetId="3" state="visible" r:id="rId3"/>
    <sheet name="Path to Self-Suffici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B6B6B"/>
      <sz val="9"/>
    </font>
    <font>
      <b val="1"/>
      <sz val="11"/>
    </font>
    <font>
      <b val="1"/>
      <color rgb="001F4D2B"/>
      <sz val="12"/>
    </font>
    <font>
      <b val="1"/>
      <color rgb="00FFFFFF"/>
      <sz val="10"/>
    </font>
    <font>
      <b val="1"/>
      <color rgb="001F4D2B"/>
      <sz val="9"/>
    </font>
    <font>
      <b val="1"/>
      <color rgb="00B8860B"/>
      <sz val="9"/>
    </font>
    <font>
      <b val="1"/>
      <color rgb="00FFFFFF"/>
      <sz val="11"/>
    </font>
    <font>
      <b val="1"/>
      <color rgb="00FFFFFF"/>
    </font>
    <font>
      <i val="1"/>
      <color rgb="00B00020"/>
    </font>
    <font>
      <b val="1"/>
      <color rgb="00B00020"/>
      <sz val="9"/>
    </font>
    <font>
      <b val="1"/>
    </font>
    <font>
      <b val="1"/>
      <color rgb="001F4D2B"/>
    </font>
    <font>
      <b val="1"/>
      <color rgb="00B8860B"/>
    </font>
    <font>
      <b val="1"/>
      <sz val="10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F4D2B"/>
      </patternFill>
    </fill>
    <fill>
      <patternFill patternType="solid">
        <fgColor rgb="002F9E44"/>
      </patternFill>
    </fill>
    <fill>
      <patternFill patternType="solid">
        <fgColor rgb="00DDEFD9"/>
      </patternFill>
    </fill>
    <fill>
      <patternFill patternType="solid">
        <fgColor rgb="00FBF4E0"/>
      </patternFill>
    </fill>
    <fill>
      <patternFill patternType="solid">
        <fgColor rgb="00EAF3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164" fontId="4" fillId="0" borderId="0" pivotButton="0" quotePrefix="0" xfId="0"/>
    <xf numFmtId="0" fontId="5" fillId="3" borderId="1" applyAlignment="1" pivotButton="0" quotePrefix="0" xfId="0">
      <alignment horizontal="left" vertical="center" wrapText="1" indent="1"/>
    </xf>
    <xf numFmtId="0" fontId="0" fillId="4" borderId="1" applyAlignment="1" pivotButton="0" quotePrefix="0" xfId="0">
      <alignment vertical="center" indent="1"/>
    </xf>
    <xf numFmtId="0" fontId="0" fillId="4" borderId="1" applyAlignment="1" pivotButton="0" quotePrefix="0" xfId="0">
      <alignment vertical="center" wrapText="1" indent="1"/>
    </xf>
    <xf numFmtId="164" fontId="0" fillId="4" borderId="1" applyAlignment="1" pivotButton="0" quotePrefix="0" xfId="0">
      <alignment vertical="center" indent="1"/>
    </xf>
    <xf numFmtId="0" fontId="6" fillId="4" borderId="1" applyAlignment="1" pivotButton="0" quotePrefix="0" xfId="0">
      <alignment vertical="center" indent="1"/>
    </xf>
    <xf numFmtId="0" fontId="0" fillId="5" borderId="1" applyAlignment="1" pivotButton="0" quotePrefix="0" xfId="0">
      <alignment vertical="center" indent="1"/>
    </xf>
    <xf numFmtId="0" fontId="0" fillId="5" borderId="1" applyAlignment="1" pivotButton="0" quotePrefix="0" xfId="0">
      <alignment vertical="center" wrapText="1" indent="1"/>
    </xf>
    <xf numFmtId="164" fontId="0" fillId="5" borderId="1" applyAlignment="1" pivotButton="0" quotePrefix="0" xfId="0">
      <alignment vertical="center" indent="1"/>
    </xf>
    <xf numFmtId="0" fontId="7" fillId="5" borderId="1" applyAlignment="1" pivotButton="0" quotePrefix="0" xfId="0">
      <alignment vertical="center" indent="1"/>
    </xf>
    <xf numFmtId="0" fontId="9" fillId="2" borderId="1" pivotButton="0" quotePrefix="0" xfId="0"/>
    <xf numFmtId="164" fontId="9" fillId="2" borderId="1" pivotButton="0" quotePrefix="0" xfId="0"/>
    <xf numFmtId="0" fontId="2" fillId="0" borderId="0" applyAlignment="1" pivotButton="0" quotePrefix="0" xfId="0">
      <alignment vertical="top" wrapText="1"/>
    </xf>
    <xf numFmtId="0" fontId="10" fillId="5" borderId="1" applyAlignment="1" pivotButton="0" quotePrefix="0" xfId="0">
      <alignment vertical="center" indent="1"/>
    </xf>
    <xf numFmtId="0" fontId="11" fillId="5" borderId="1" applyAlignment="1" pivotButton="0" quotePrefix="0" xfId="0">
      <alignment vertical="center" indent="1"/>
    </xf>
    <xf numFmtId="0" fontId="12" fillId="6" borderId="1" pivotButton="0" quotePrefix="0" xfId="0"/>
    <xf numFmtId="0" fontId="0" fillId="6" borderId="1" pivotButton="0" quotePrefix="0" xfId="0"/>
    <xf numFmtId="164" fontId="13" fillId="6" borderId="1" pivotButton="0" quotePrefix="0" xfId="0"/>
    <xf numFmtId="164" fontId="14" fillId="6" borderId="1" pivotButton="0" quotePrefix="0" xfId="0"/>
    <xf numFmtId="0" fontId="15" fillId="0" borderId="0" pivotButton="0" quotePrefix="0" xfId="0"/>
    <xf numFmtId="0" fontId="0" fillId="6" borderId="1" applyAlignment="1" pivotButton="0" quotePrefix="0" xfId="0">
      <alignment vertical="center" indent="1"/>
    </xf>
    <xf numFmtId="164" fontId="0" fillId="6" borderId="1" applyAlignment="1" pivotButton="0" quotePrefix="0" xfId="0">
      <alignment vertical="center" indent="1"/>
    </xf>
    <xf numFmtId="0" fontId="16" fillId="0" borderId="0" pivotButton="0" quotePrefix="0" xfId="0"/>
    <xf numFmtId="164" fontId="0" fillId="0" borderId="0" pivotButton="0" quotePrefix="0" xfId="0"/>
    <xf numFmtId="0" fontId="0" fillId="5" borderId="1" applyAlignment="1" pivotButton="0" quotePrefix="0" xfId="0">
      <alignment vertical="center" indent="1"/>
    </xf>
    <xf numFmtId="164" fontId="0" fillId="5" borderId="1" applyAlignment="1" pivotButton="0" quotePrefix="0" xfId="0">
      <alignment vertical="center" indent="1"/>
    </xf>
    <xf numFmtId="0" fontId="7" fillId="5" borderId="1" applyAlignment="1" pivotButton="0" quotePrefix="0" xfId="0">
      <alignment vertical="center" indent="1"/>
    </xf>
    <xf numFmtId="0" fontId="6" fillId="5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5" customWidth="1" min="3" max="3"/>
    <col width="14" customWidth="1" min="4" max="4"/>
  </cols>
  <sheetData>
    <row r="1" ht="30" customHeight="1">
      <c r="A1" s="1" t="inlineStr">
        <is>
          <t>Solar Operator — Trust Distribution Request</t>
        </is>
      </c>
    </row>
    <row r="2" ht="26" customHeight="1">
      <c r="A2" s="2" t="inlineStr">
        <is>
          <t>Prepared for trustee review · $25,000 distribution · Figures as of June 2026 · At the current ~$10,000/mo build-phase draw this is ~2.5 months of runway, NOT a one-time top-up. STATUS distinguishes receipt-backed (Documented) costs from forward Estimates.</t>
        </is>
      </c>
    </row>
    <row r="3"/>
    <row r="4">
      <c r="A4" s="3" t="inlineStr">
        <is>
          <t>Requested distribution</t>
        </is>
      </c>
      <c r="C4" s="4" t="n">
        <v>25000</v>
      </c>
    </row>
    <row r="5"/>
    <row r="6" ht="24" customHeight="1">
      <c r="A6" s="5" t="inlineStr">
        <is>
          <t>Category</t>
        </is>
      </c>
      <c r="B6" s="5" t="inlineStr">
        <is>
          <t>Basis</t>
        </is>
      </c>
      <c r="C6" s="5" t="inlineStr">
        <is>
          <t>Amount</t>
        </is>
      </c>
      <c r="D6" s="5" t="inlineStr">
        <is>
          <t>Status</t>
        </is>
      </c>
    </row>
    <row r="7">
      <c r="A7" s="6" t="inlineStr">
        <is>
          <t>AI compute — development to date</t>
        </is>
      </c>
      <c r="B7" s="7" t="inlineStr">
        <is>
          <t>Provider console / receipts</t>
        </is>
      </c>
      <c r="C7" s="8" t="n">
        <v>11846.7</v>
      </c>
      <c r="D7" s="9" t="inlineStr">
        <is>
          <t>Documented</t>
        </is>
      </c>
    </row>
    <row r="8">
      <c r="A8" s="28" t="inlineStr">
        <is>
          <t>AI compute — remaining build push</t>
        </is>
      </c>
      <c r="B8" s="11" t="inlineStr">
        <is>
          <t>Forward estimate</t>
        </is>
      </c>
      <c r="C8" s="29" t="n">
        <v>7000</v>
      </c>
      <c r="D8" s="30" t="inlineStr">
        <is>
          <t>Estimate</t>
        </is>
      </c>
    </row>
    <row r="9">
      <c r="A9" s="28" t="inlineStr">
        <is>
          <t>Hosting &amp; infrastructure (≈12 mo)</t>
        </is>
      </c>
      <c r="B9" s="11" t="inlineStr">
        <is>
          <t>Railway, email, auth, data integrations</t>
        </is>
      </c>
      <c r="C9" s="29" t="n">
        <v>2400</v>
      </c>
      <c r="D9" s="30" t="inlineStr">
        <is>
          <t>Estimate</t>
        </is>
      </c>
    </row>
    <row r="10">
      <c r="A10" s="28" t="inlineStr">
        <is>
          <t>Listing &amp; compliance</t>
        </is>
      </c>
      <c r="B10" s="11" t="inlineStr">
        <is>
          <t>Chrome Web Store, registration, misc.</t>
        </is>
      </c>
      <c r="C10" s="29" t="n">
        <v>750</v>
      </c>
      <c r="D10" s="30" t="inlineStr">
        <is>
          <t>Estimate</t>
        </is>
      </c>
    </row>
    <row r="11">
      <c r="A11" s="28" t="inlineStr">
        <is>
          <t>Contingency / buffer to round to ask</t>
        </is>
      </c>
      <c r="B11" s="11" t="inlineStr">
        <is>
          <t>Variance on estimates above</t>
        </is>
      </c>
      <c r="C11" s="29" t="n">
        <v>3003.3</v>
      </c>
      <c r="D11" s="30" t="inlineStr">
        <is>
          <t>Estimate</t>
        </is>
      </c>
    </row>
    <row r="12">
      <c r="A12" s="14" t="inlineStr">
        <is>
          <t>TOTAL — distribution requested</t>
        </is>
      </c>
      <c r="B12" s="14" t="n"/>
      <c r="C12" s="15">
        <f>SUM(C7:C11)</f>
        <v/>
      </c>
      <c r="D12" s="14" t="n"/>
    </row>
    <row r="13"/>
    <row r="14">
      <c r="A14" s="16" t="inlineStr">
        <is>
          <t>Honesty note: $11,846.70 is documented and receipt-backed from the model-provider console. The product currently draws ~$10,000/mo (compute-dominated) building out utility coverage, so $25,000 is roughly 2.5 months of runway, not a one-time top-up. The four Estimate lines are forward projections, not invoices. Itemized forward estimates total $10,150.00; the $3,003.30 buffer absorbs variance and rounds to $25,000. The draw falls sharply once utility onboarding is done — see 'Path to Self-Sufficiency'.</t>
        </is>
      </c>
    </row>
    <row r="15"/>
    <row r="16"/>
    <row r="17"/>
  </sheetData>
  <mergeCells count="3">
    <mergeCell ref="A14:D17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5" customWidth="1" min="3" max="3"/>
    <col width="13" customWidth="1" min="4" max="4"/>
  </cols>
  <sheetData>
    <row r="1" ht="30" customHeight="1">
      <c r="A1" s="1" t="inlineStr">
        <is>
          <t>Costs to Date — Documented</t>
        </is>
      </c>
    </row>
    <row r="2" ht="26" customHeight="1">
      <c r="A2" s="2" t="inlineStr">
        <is>
          <t>Receipt-backed development-phase spending already incurred. Rows marked 'Confirm' are real costs Ford should verify exact figures for before sending.</t>
        </is>
      </c>
    </row>
    <row r="4" ht="24" customHeight="1">
      <c r="A4" s="5" t="inlineStr">
        <is>
          <t>Item</t>
        </is>
      </c>
      <c r="B4" s="5" t="inlineStr">
        <is>
          <t>Source of figure</t>
        </is>
      </c>
      <c r="C4" s="5" t="inlineStr">
        <is>
          <t>Amount</t>
        </is>
      </c>
      <c r="D4" s="5" t="inlineStr">
        <is>
          <t>Status</t>
        </is>
      </c>
    </row>
    <row r="5">
      <c r="A5" s="7" t="inlineStr">
        <is>
          <t>AI / model-API compute (Stage 1 development)</t>
        </is>
      </c>
      <c r="B5" s="7" t="inlineStr">
        <is>
          <t>Provider console export — exact</t>
        </is>
      </c>
      <c r="C5" s="8" t="n">
        <v>11846.7</v>
      </c>
      <c r="D5" s="9" t="inlineStr">
        <is>
          <t>Documented</t>
        </is>
      </c>
    </row>
    <row r="6">
      <c r="A6" s="11" t="inlineStr">
        <is>
          <t>Domain — solaroperator.org</t>
        </is>
      </c>
      <c r="B6" s="11" t="inlineStr">
        <is>
          <t>Registrar receipt</t>
        </is>
      </c>
      <c r="C6" s="17" t="inlineStr">
        <is>
          <t>— fill in —</t>
        </is>
      </c>
      <c r="D6" s="18" t="inlineStr">
        <is>
          <t>Confirm</t>
        </is>
      </c>
    </row>
    <row r="7">
      <c r="A7" s="11" t="inlineStr">
        <is>
          <t>Railway hosting — spend to date</t>
        </is>
      </c>
      <c r="B7" s="11" t="inlineStr">
        <is>
          <t>Railway billing dashboard</t>
        </is>
      </c>
      <c r="C7" s="17" t="inlineStr">
        <is>
          <t>— fill in —</t>
        </is>
      </c>
      <c r="D7" s="18" t="inlineStr">
        <is>
          <t>Confirm</t>
        </is>
      </c>
    </row>
    <row r="8">
      <c r="A8" s="11" t="inlineStr">
        <is>
          <t>Chrome Web Store developer fee (one-time)</t>
        </is>
      </c>
      <c r="B8" s="11" t="inlineStr">
        <is>
          <t>$5.00 standard</t>
        </is>
      </c>
      <c r="C8" s="29" t="n">
        <v>5</v>
      </c>
      <c r="D8" s="18" t="inlineStr">
        <is>
          <t>Confirm</t>
        </is>
      </c>
    </row>
    <row r="9">
      <c r="A9" s="7" t="inlineStr">
        <is>
          <t>Stripe processing</t>
        </is>
      </c>
      <c r="B9" s="7" t="inlineStr">
        <is>
          <t>Per-transaction % — no upfront cost</t>
        </is>
      </c>
      <c r="C9" s="8" t="n">
        <v>0</v>
      </c>
      <c r="D9" s="9" t="inlineStr">
        <is>
          <t>Documented</t>
        </is>
      </c>
    </row>
    <row r="10">
      <c r="A10" s="19" t="inlineStr">
        <is>
          <t>Documented subtotal (excl. 'fill in' rows)</t>
        </is>
      </c>
      <c r="B10" s="20" t="n"/>
      <c r="C10" s="21">
        <f>SUM(C5:C9)</f>
        <v/>
      </c>
      <c r="D10" s="20" t="n"/>
    </row>
    <row r="12">
      <c r="A12" s="16" t="inlineStr">
        <is>
          <t>The $11,846.70 compute figure is the headline documented cost and the reason the request is timed now. The 'Confirm' rows are small; fill in exact registrar/Railway amounts from your receipts before sending so every number on the sheet is defensible.</t>
        </is>
      </c>
    </row>
    <row r="13"/>
    <row r="14"/>
  </sheetData>
  <mergeCells count="3">
    <mergeCell ref="A1:D1"/>
    <mergeCell ref="A12:D1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42" customWidth="1" min="4" max="4"/>
  </cols>
  <sheetData>
    <row r="1" ht="30" customHeight="1">
      <c r="A1" s="1" t="inlineStr">
        <is>
          <t>Use of Funds — Remaining Build Phase (Estimates)</t>
        </is>
      </c>
    </row>
    <row r="2" ht="26" customHeight="1">
      <c r="A2" s="2" t="inlineStr">
        <is>
          <t>Forward-looking, good-faith estimates for closing out the build phase. Not invoices. These are planning figures and may shift.</t>
        </is>
      </c>
    </row>
    <row r="3"/>
    <row r="4" ht="24" customHeight="1">
      <c r="A4" s="5" t="inlineStr">
        <is>
          <t>Line item</t>
        </is>
      </c>
      <c r="B4" s="5" t="inlineStr">
        <is>
          <t>What it covers</t>
        </is>
      </c>
      <c r="C4" s="5" t="inlineStr">
        <is>
          <t>Estimate</t>
        </is>
      </c>
      <c r="D4" s="5" t="inlineStr">
        <is>
          <t>Basis / assumption</t>
        </is>
      </c>
    </row>
    <row r="5">
      <c r="A5" s="28" t="inlineStr">
        <is>
          <t>AI compute — remaining dev push</t>
        </is>
      </c>
      <c r="B5" s="11" t="inlineStr">
        <is>
          <t>Agent-swarm work to add utilities for v1 (New England) coverage</t>
        </is>
      </c>
      <c r="C5" s="29" t="n">
        <v>7000</v>
      </c>
      <c r="D5" s="11" t="inlineStr">
        <is>
          <t>Below Stage-1 actual; utility onboarding is the remaining work</t>
        </is>
      </c>
    </row>
    <row r="6">
      <c r="A6" s="28" t="inlineStr">
        <is>
          <t>Hosting &amp; infrastructure (~12 mo)</t>
        </is>
      </c>
      <c r="B6" s="11" t="inlineStr">
        <is>
          <t>Railway containers, email, auth, data integrations</t>
        </is>
      </c>
      <c r="C6" s="29" t="n">
        <v>2400</v>
      </c>
      <c r="D6" s="11" t="inlineStr">
        <is>
          <t>≈ $200/mo run-rate × 12</t>
        </is>
      </c>
    </row>
    <row r="7">
      <c r="A7" s="28" t="inlineStr">
        <is>
          <t>Listing &amp; compliance</t>
        </is>
      </c>
      <c r="B7" s="11" t="inlineStr">
        <is>
          <t>Chrome Web Store, business registration, misc. compliance</t>
        </is>
      </c>
      <c r="C7" s="29" t="n">
        <v>750</v>
      </c>
      <c r="D7" s="11" t="inlineStr">
        <is>
          <t>Round allowance — low-cost items</t>
        </is>
      </c>
    </row>
    <row r="8">
      <c r="A8" s="28" t="inlineStr">
        <is>
          <t>Contingency / buffer</t>
        </is>
      </c>
      <c r="B8" s="11" t="inlineStr">
        <is>
          <t>Estimate variance; rounds request to $25,000 ask</t>
        </is>
      </c>
      <c r="C8" s="29" t="n">
        <v>3003.3</v>
      </c>
      <c r="D8" s="11" t="inlineStr">
        <is>
          <t>Plug between itemized estimates and the round ask</t>
        </is>
      </c>
    </row>
    <row r="9">
      <c r="A9" s="19" t="inlineStr">
        <is>
          <t>Forward budget subtotal</t>
        </is>
      </c>
      <c r="B9" s="20" t="n"/>
      <c r="C9" s="22">
        <f>SUM(C5:C8)</f>
        <v/>
      </c>
      <c r="D9" s="20" t="n"/>
    </row>
    <row r="10"/>
    <row r="11">
      <c r="A11" s="16" t="inlineStr">
        <is>
          <t>Commitment: this distribution funds the remaining build phase. At the current ~$10,000/mo draw, $25,000 is ~2.5 months of runway. The draw is compute-dominated and one-time per utility — once New England coverage is built it drops to a settled run-rate (~$200/mo + light compute), which live Stripe billing is already wired to cover.</t>
        </is>
      </c>
    </row>
    <row r="12"/>
    <row r="13"/>
  </sheetData>
  <mergeCells count="3">
    <mergeCell ref="A1:D1"/>
    <mergeCell ref="A11:D1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8" customWidth="1" min="4" max="4"/>
  </cols>
  <sheetData>
    <row r="1" ht="30" customHeight="1">
      <c r="A1" s="1" t="inlineStr">
        <is>
          <t>Path to Self-Sufficiency — Illustrative</t>
        </is>
      </c>
    </row>
    <row r="2" ht="26" customHeight="1">
      <c r="A2" s="2" t="inlineStr">
        <is>
          <t>ILLUSTRATIVE unit economics, not a forecast or a promise. Shows how live pricing covers ongoing run-rate. Pricing is real; customer counts are scenarios.</t>
        </is>
      </c>
    </row>
    <row r="3"/>
    <row r="4">
      <c r="A4" s="23" t="inlineStr">
        <is>
          <t>Live pricing (graduated, per array / per quarter)</t>
        </is>
      </c>
    </row>
    <row r="5" ht="24" customHeight="1">
      <c r="A5" s="5" t="inlineStr">
        <is>
          <t>Array band</t>
        </is>
      </c>
      <c r="B5" s="5" t="inlineStr">
        <is>
          <t>Price per array</t>
        </is>
      </c>
      <c r="C5" s="5" t="inlineStr">
        <is>
          <t>Notes</t>
        </is>
      </c>
      <c r="D5" s="5" t="inlineStr"/>
    </row>
    <row r="6">
      <c r="A6" s="24" t="inlineStr">
        <is>
          <t>Arrays 1–50</t>
        </is>
      </c>
      <c r="B6" s="25" t="n">
        <v>15</v>
      </c>
      <c r="C6" s="24" t="inlineStr">
        <is>
          <t>First band</t>
        </is>
      </c>
    </row>
    <row r="7">
      <c r="A7" s="24" t="inlineStr">
        <is>
          <t>Arrays 51–100</t>
        </is>
      </c>
      <c r="B7" s="25" t="n">
        <v>13.5</v>
      </c>
      <c r="C7" s="24" t="inlineStr">
        <is>
          <t>Volume step</t>
        </is>
      </c>
    </row>
    <row r="8">
      <c r="A8" s="24" t="inlineStr">
        <is>
          <t>Arrays 101–150</t>
        </is>
      </c>
      <c r="B8" s="25" t="n">
        <v>12</v>
      </c>
      <c r="C8" s="24" t="inlineStr">
        <is>
          <t>Volume step</t>
        </is>
      </c>
    </row>
    <row r="9">
      <c r="A9" s="24" t="inlineStr">
        <is>
          <t>Arrays 151+</t>
        </is>
      </c>
      <c r="B9" s="25" t="n">
        <v>10.5</v>
      </c>
      <c r="C9" s="24" t="inlineStr">
        <is>
          <t>Volume step</t>
        </is>
      </c>
    </row>
    <row r="10"/>
    <row r="11">
      <c r="A11" s="23" t="inlineStr">
        <is>
          <t>Illustrative break-even vs. settled run-rate</t>
        </is>
      </c>
    </row>
    <row r="12">
      <c r="A12" s="26" t="inlineStr">
        <is>
          <t>Assumed settled ongoing cost (~$200/mo hosting + light compute)</t>
        </is>
      </c>
      <c r="C12" s="27" t="n">
        <v>200</v>
      </c>
    </row>
    <row r="13" ht="24" customHeight="1">
      <c r="A13" s="5" t="inlineStr">
        <is>
          <t>Scenario (billed arrays)</t>
        </is>
      </c>
      <c r="B13" s="5" t="inlineStr">
        <is>
          <t>Implied quarterly revenue</t>
        </is>
      </c>
      <c r="C13" s="5" t="inlineStr">
        <is>
          <t>≈ Monthly</t>
        </is>
      </c>
      <c r="D13" s="5" t="inlineStr">
        <is>
          <t>Covers run-rate?</t>
        </is>
      </c>
    </row>
    <row r="14">
      <c r="A14" s="28" t="inlineStr">
        <is>
          <t>20 arrays</t>
        </is>
      </c>
      <c r="B14" s="29" t="n">
        <v>300</v>
      </c>
      <c r="C14" s="29" t="n">
        <v>100</v>
      </c>
      <c r="D14" s="30" t="inlineStr">
        <is>
          <t>Approaching</t>
        </is>
      </c>
    </row>
    <row r="15">
      <c r="A15" s="28" t="inlineStr">
        <is>
          <t>50 arrays</t>
        </is>
      </c>
      <c r="B15" s="29" t="n">
        <v>750</v>
      </c>
      <c r="C15" s="29" t="n">
        <v>250</v>
      </c>
      <c r="D15" s="31" t="inlineStr">
        <is>
          <t>Yes</t>
        </is>
      </c>
    </row>
    <row r="16">
      <c r="A16" s="28" t="inlineStr">
        <is>
          <t>120 arrays</t>
        </is>
      </c>
      <c r="B16" s="29" t="n">
        <v>1665</v>
      </c>
      <c r="C16" s="29" t="n">
        <v>555</v>
      </c>
      <c r="D16" s="31" t="inlineStr">
        <is>
          <t>Yes</t>
        </is>
      </c>
    </row>
    <row r="17">
      <c r="A17" s="28" t="inlineStr">
        <is>
          <t>300 arrays</t>
        </is>
      </c>
      <c r="B17" s="29" t="n">
        <v>3600</v>
      </c>
      <c r="C17" s="29" t="n">
        <v>1200</v>
      </c>
      <c r="D17" s="31" t="inlineStr">
        <is>
          <t>Yes</t>
        </is>
      </c>
    </row>
    <row r="18"/>
    <row r="19">
      <c r="A19" s="16" t="inlineStr">
        <is>
          <t>Read this as orders of magnitude, not a forecast. Pricing is live and real; array counts are scenarios. IMPORTANT: these counts cover the SETTLED ~$200/mo run-rate, NOT today's ~$10,000/mo build draw. The distribution bridges that gap; the draw must fall as utility onboarding finishes. Live billing is already wired, which is why this is a one-time request, not the start of a pattern.</t>
        </is>
      </c>
    </row>
    <row r="20"/>
    <row r="21"/>
    <row r="22"/>
  </sheetData>
  <mergeCells count="3">
    <mergeCell ref="A1:D1"/>
    <mergeCell ref="A19:D2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2026-06-10T22:19:29Z</dcterms:created>
  <dcterms:modified xsi:type="dcterms:W3CDTF">2026-06-12T03:50:42Z</dcterms:modified>
</cp:coreProperties>
</file>